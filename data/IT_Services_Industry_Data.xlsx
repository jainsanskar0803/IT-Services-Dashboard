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Revenue" sheetId="1" state="visible" r:id="rId3"/>
    <sheet name="Quarterly Revenue" sheetId="2" state="visible" r:id="rId4"/>
    <sheet name="Profitability" sheetId="3" state="visible" r:id="rId5"/>
    <sheet name="Workforce &amp; Attrition" sheetId="4" state="visible" r:id="rId6"/>
    <sheet name="Cloud &amp; AI Digital" sheetId="5" state="visible" r:id="rId7"/>
    <sheet name="Geographic Revenu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<sst xmlns="http://schemas.openxmlformats.org/spreadsheetml/2006/main" count="711" uniqueCount="119">
  <si>
    <t xml:space="preserve">Annual Revenue (USD $M)  —  FY2020 to FY2025E</t>
  </si>
  <si>
    <t xml:space="preserve">Company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</si>
  <si>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</si>
  <si>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</si>
  <si>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</si>
  <si>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</si>
  <si>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</si>
  <si>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FY2025E</t>
  </si>
  <si>
    <t xml:space="preserve">Notes</t>
  </si>
  <si>
    <t xml:space="preserve">TCS</t>
  </si>
  <si>
    <t xml:space="preserve">FY ends March. FY25E = analyst consensus as of Q3FY25 earnings season.</t>
  </si>
  <si>
    <t xml:space="preserve">Infosys</t>
  </si>
  <si>
    <t xml:space="preserve">FY ends March. FY22 revenue flat YoY due to a reclassification in one business segment.</t>
  </si>
  <si>
    <t xml:space="preserve">Wipro</t>
  </si>
  <si>
    <t xml:space="preserve">FY ends March. FY24 revenue declined due to discretionary spend slowdown in BFSI.</t>
  </si>
  <si>
    <t xml:space="preserve">HCL Tech</t>
  </si>
  <si>
    <t xml:space="preserve">FY ends March. Includes IT Services, Engineering Services and HCLSoftware segments.</t>
  </si>
  <si>
    <t xml:space="preserve">Accenture</t>
  </si>
  <si>
    <t xml:space="preserve">FY ends August. Converted to USD at prevailing avg exchange rates for comparability.</t>
  </si>
  <si>
    <t xml:space="preserve">Year-on-Year Revenue Growth</t>
  </si>
  <si>
    <t xml:space="preserve">FY21 YoY %</t>
  </si>
  <si>
    <t xml:space="preserve">FY22 YoY %</t>
  </si>
  <si>
    <t xml:space="preserve">FY23 YoY %</t>
  </si>
  <si>
    <t xml:space="preserve">FY24 YoY %</t>
  </si>
  <si>
    <t xml:space="preserve">FY25E YoY %</t>
  </si>
  <si>
    <t xml:space="preserve">Quarterly Revenue (USD $M)  —  Q1 FY2022 to Q4 FY2025E</t>
  </si>
  <si>
    <t xml:space="preserve">Quarter</t>
  </si>
  <si>
    <t xml:space="preserve">Fiscal Year</t>
  </si>
  <si>
    <t xml:space="preserve">Revenue ($M)</t>
  </si>
  <si>
    <t xml:space="preserve">QoQ Growth %</t>
  </si>
  <si>
    <t xml:space="preserve">YoY Growth %</t>
  </si>
  <si>
    <t xml:space="preserve">Beat / Miss</t>
  </si>
  <si>
    <t xml:space="preserve">Q1</t>
  </si>
  <si>
    <t xml:space="preserve">—</t>
  </si>
  <si>
    <t xml:space="preserve">Beat</t>
  </si>
  <si>
    <t xml:space="preserve">Q2</t>
  </si>
  <si>
    <t xml:space="preserve">Q3</t>
  </si>
  <si>
    <t xml:space="preserve">In-Line</t>
  </si>
  <si>
    <t xml:space="preserve">Q4</t>
  </si>
  <si>
    <t xml:space="preserve">FY2025</t>
  </si>
  <si>
    <t xml:space="preserve">Estimate</t>
  </si>
  <si>
    <t xml:space="preserve">Profitability Metrics (USD $M)  —  FY2020 to FY2025E</t>
  </si>
  <si>
    <t xml:space="preserve">FY</t>
  </si>
  <si>
    <t xml:space="preserve">Gross Profit ($M)</t>
  </si>
  <si>
    <t xml:space="preserve">EBIT ($M)</t>
  </si>
  <si>
    <t xml:space="preserve">Net Profit ($M)</t>
  </si>
  <si>
    <t xml:space="preserve">Gross Margin</t>
  </si>
  <si>
    <t xml:space="preserve">EBIT Margin</t>
  </si>
  <si>
    <t xml:space="preserve">Net Margin</t>
  </si>
  <si>
    <t xml:space="preserve">EPS (USD)</t>
  </si>
  <si>
    <t xml:space="preserve">Consensus estimate</t>
  </si>
  <si>
    <t xml:space="preserve">Revenue flat; margin compression from wage hikes</t>
  </si>
  <si>
    <t xml:space="preserve">Revenue declined; margin contracted on lower utilisation</t>
  </si>
  <si>
    <t xml:space="preserve">FY ends August</t>
  </si>
  <si>
    <t xml:space="preserve">Workforce &amp; Attrition Metrics  —  FY2020 to FY2025E</t>
  </si>
  <si>
    <t xml:space="preserve">Total Employees</t>
  </si>
  <si>
    <t xml:space="preserve">Net Additions</t>
  </si>
  <si>
    <t xml:space="preserve">Attrition %</t>
  </si>
  <si>
    <t xml:space="preserve">Freshers Hired</t>
  </si>
  <si>
    <t xml:space="preserve">Lateral Hired</t>
  </si>
  <si>
    <t xml:space="preserve">Revenue / Employee ($K)</t>
  </si>
  <si>
    <t xml:space="preserve">Utilisation %</t>
  </si>
  <si>
    <t xml:space="preserve">Largest single-year net addition in TCS history</t>
  </si>
  <si>
    <t xml:space="preserve">Attrition peaked post-pandemic Great Resignation wave</t>
  </si>
  <si>
    <t xml:space="preserve">Net headcount decline as demand moderated</t>
  </si>
  <si>
    <t xml:space="preserve">Attrition 28.4% — highest in company history</t>
  </si>
  <si>
    <t xml:space="preserve">Demand-led headcount reduction; not restructuring</t>
  </si>
  <si>
    <t xml:space="preserve">25,504 headcount reduction on BFSI demand decline</t>
  </si>
  <si>
    <t xml:space="preserve">Peak attrition year for HCL</t>
  </si>
  <si>
    <t xml:space="preserve">Attrition fell sharply — fastest normalisation among peers</t>
  </si>
  <si>
    <t xml:space="preserve">Record hiring — 201K net additions in a single year</t>
  </si>
  <si>
    <t xml:space="preserve">Cloud, AI &amp; Digital Revenue (USD $M)  —  FY2020 to FY2025E</t>
  </si>
  <si>
    <t xml:space="preserve">Total Revenue ($M)</t>
  </si>
  <si>
    <t xml:space="preserve">Cloud Revenue ($M)</t>
  </si>
  <si>
    <t xml:space="preserve">AI / Digital Revenue ($M)</t>
  </si>
  <si>
    <t xml:space="preserve">Consulting Revenue ($M)</t>
  </si>
  <si>
    <t xml:space="preserve">Cloud Share %</t>
  </si>
  <si>
    <t xml:space="preserve">AI / Digital Share %</t>
  </si>
  <si>
    <t xml:space="preserve">Cloud YoY %</t>
  </si>
  <si>
    <t xml:space="preserve">Cloud Cobalt-equivalent disclosed as Digital % from FY19</t>
  </si>
  <si>
    <t xml:space="preserve">35.3%</t>
  </si>
  <si>
    <t xml:space="preserve">31.9%</t>
  </si>
  <si>
    <t xml:space="preserve">40.7%</t>
  </si>
  <si>
    <t xml:space="preserve">BSNL cloud megadeal boosted cloud revenue significantly</t>
  </si>
  <si>
    <t xml:space="preserve">26.5%</t>
  </si>
  <si>
    <t xml:space="preserve">14.5%</t>
  </si>
  <si>
    <t xml:space="preserve">63.5%</t>
  </si>
  <si>
    <t xml:space="preserve">Cloud Cobalt launched September 2020</t>
  </si>
  <si>
    <t xml:space="preserve">74.3%</t>
  </si>
  <si>
    <t xml:space="preserve">Fastest cloud ramp in the sector post-Cobalt launch</t>
  </si>
  <si>
    <t xml:space="preserve">25.0%</t>
  </si>
  <si>
    <t xml:space="preserve">20.4%</t>
  </si>
  <si>
    <t xml:space="preserve">15.5%</t>
  </si>
  <si>
    <t xml:space="preserve">45.8%</t>
  </si>
  <si>
    <t xml:space="preserve">53.4%</t>
  </si>
  <si>
    <t xml:space="preserve">30.3%</t>
  </si>
  <si>
    <t xml:space="preserve">2.9%</t>
  </si>
  <si>
    <t xml:space="preserve">Cloud growth stalled alongside overall revenue decline</t>
  </si>
  <si>
    <t xml:space="preserve">9.0%</t>
  </si>
  <si>
    <t xml:space="preserve">HCL Cloud Smart launched FY21</t>
  </si>
  <si>
    <t xml:space="preserve">29.0%</t>
  </si>
  <si>
    <t xml:space="preserve">47.4%</t>
  </si>
  <si>
    <t xml:space="preserve">37.1%</t>
  </si>
  <si>
    <t xml:space="preserve">19.8%</t>
  </si>
  <si>
    <t xml:space="preserve">13.7%</t>
  </si>
  <si>
    <t xml:space="preserve">Cloud First strategy announced September 2020</t>
  </si>
  <si>
    <t xml:space="preserve">71.0%</t>
  </si>
  <si>
    <t xml:space="preserve">Cloud First ramp — steepest cloud growth in sector</t>
  </si>
  <si>
    <t xml:space="preserve">69.3%</t>
  </si>
  <si>
    <t xml:space="preserve">AI bookings exceeded $3B in FY24</t>
  </si>
  <si>
    <t xml:space="preserve">6.5%</t>
  </si>
  <si>
    <t xml:space="preserve">Geographic Revenue Distribution (% of Total)  —  FY2020 to FY2025E</t>
  </si>
  <si>
    <t xml:space="preserve">North America %</t>
  </si>
  <si>
    <t xml:space="preserve">Europe %</t>
  </si>
  <si>
    <t xml:space="preserve">UK %</t>
  </si>
  <si>
    <t xml:space="preserve">India %</t>
  </si>
  <si>
    <t xml:space="preserve">APAC %</t>
  </si>
  <si>
    <t xml:space="preserve">Rest of World %</t>
  </si>
  <si>
    <t xml:space="preserve">NA share growing on BSNL and large US deal wins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</si>
</sst>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#,##0;\(#,##0\);\-"/>
    <numFmt numFmtId="169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9E0B"/>
      <name val="Arial"/>
      <family val="0"/>
      <charset val="1"/>
    </font>
    <font>
      <b val="true"/>
      <sz val="9"/>
      <color rgb="FF38BDF8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59E0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1117"/>
        <bgColor rgb="FF161B27"/>
      </patternFill>
    </fill>
    <fill>
      <patternFill patternType="solid">
        <fgColor rgb="FF1C2333"/>
        <bgColor rgb="FF161B27"/>
      </patternFill>
    </fill>
    <fill>
      <patternFill patternType="solid">
        <fgColor rgb="FF161B27"/>
        <bgColor rgb="FF1C2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3248"/>
      </left>
      <right style="thin">
        <color rgb="FF2A3248"/>
      </right>
      <top style="thin">
        <color rgb="FF2A3248"/>
      </top>
      <bottom style="thin">
        <color rgb="FF2A324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59E0B"/>
      <rgbColor rgb="FFF43F5E"/>
      <rgbColor rgb="FF666699"/>
      <rgbColor rgb="FF969696"/>
      <rgbColor rgb="FF0D1117"/>
      <rgbColor rgb="FF10B981"/>
      <rgbColor rgb="FF161B27"/>
      <rgbColor rgb="FF1C2333"/>
      <rgbColor rgb="FF993300"/>
      <rgbColor rgb="FF993366"/>
      <rgbColor rgb="FF333399"/>
      <rgbColor rgb="FF2A32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n">
        <v>22173</v>
      </c>
      <c r="C3" s="4" t="n">
        <v>25706</v>
      </c>
      <c r="D3" s="4" t="n">
        <v>27929</v>
      </c>
      <c r="E3" s="4" t="n">
        <v>29083</v>
      </c>
      <c r="F3" s="4" t="n">
        <v>30175</v>
      </c>
      <c r="G3" s="4" t="n">
        <v>31200</v>
      </c>
      <c r="H3" s="5" t="s">
        <v>10</v>
      </c>
    </row>
    <row r="4" customFormat="false" ht="15" hidden="false" customHeight="false" outlineLevel="0" collapsed="false">
      <c r="A4" s="6" t="s">
        <v>11</v>
      </c>
      <c r="B4" s="7" t="n">
        <v>12780</v>
      </c>
      <c r="C4" s="7" t="n">
        <v>14928</v>
      </c>
      <c r="D4" s="7" t="n">
        <v>18212</v>
      </c>
      <c r="E4" s="7" t="n">
        <v>18212</v>
      </c>
      <c r="F4" s="7" t="n">
        <v>19573</v>
      </c>
      <c r="G4" s="7" t="n">
        <v>21100</v>
      </c>
      <c r="H4" s="8" t="s">
        <v>12</v>
      </c>
    </row>
    <row r="5" customFormat="false" ht="15" hidden="false" customHeight="false" outlineLevel="0" collapsed="false">
      <c r="A5" s="3" t="s">
        <v>13</v>
      </c>
      <c r="B5" s="4" t="n">
        <v>8133</v>
      </c>
      <c r="C5" s="4" t="n">
        <v>9494</v>
      </c>
      <c r="D5" s="4" t="n">
        <v>10396</v>
      </c>
      <c r="E5" s="4" t="n">
        <v>11158</v>
      </c>
      <c r="F5" s="4" t="n">
        <v>10845</v>
      </c>
      <c r="G5" s="4" t="n">
        <v>11200</v>
      </c>
      <c r="H5" s="5" t="s">
        <v>14</v>
      </c>
    </row>
    <row r="6" customFormat="false" ht="15" hidden="false" customHeight="false" outlineLevel="0" collapsed="false">
      <c r="A6" s="6" t="s">
        <v>15</v>
      </c>
      <c r="B6" s="7" t="n">
        <v>9627</v>
      </c>
      <c r="C6" s="7" t="n">
        <v>10173</v>
      </c>
      <c r="D6" s="7" t="n">
        <v>11777</v>
      </c>
      <c r="E6" s="7" t="n">
        <v>13299</v>
      </c>
      <c r="F6" s="7" t="n">
        <v>14251</v>
      </c>
      <c r="G6" s="7" t="n">
        <v>15400</v>
      </c>
      <c r="H6" s="8" t="s">
        <v>16</v>
      </c>
    </row>
    <row r="7" customFormat="false" ht="15" hidden="false" customHeight="false" outlineLevel="0" collapsed="false">
      <c r="A7" s="3" t="s">
        <v>17</v>
      </c>
      <c r="B7" s="4" t="n">
        <v>44327</v>
      </c>
      <c r="C7" s="4" t="n">
        <v>50533</v>
      </c>
      <c r="D7" s="4" t="n">
        <v>61594</v>
      </c>
      <c r="E7" s="4" t="n">
        <v>64111</v>
      </c>
      <c r="F7" s="4" t="n">
        <v>64895</v>
      </c>
      <c r="G7" s="4" t="n">
        <v>67200</v>
      </c>
      <c r="H7" s="5" t="s">
        <v>18</v>
      </c>
    </row>
    <row r="9" customFormat="false" ht="7.5" hidden="false" customHeight="true" outlineLevel="0" collapsed="false"/>
    <row r="10" customFormat="false" ht="25.5" hidden="false" customHeight="true" outlineLevel="0" collapsed="false">
      <c r="A10" s="9" t="s">
        <v>19</v>
      </c>
      <c r="B10" s="10" t="s">
        <v>20</v>
      </c>
      <c r="C10" s="10" t="s">
        <v>21</v>
      </c>
      <c r="D10" s="10" t="s">
        <v>22</v>
      </c>
      <c r="E10" s="10" t="s">
        <v>23</v>
      </c>
      <c r="F10" s="10" t="s">
        <v>24</v>
      </c>
      <c r="G10" s="10"/>
      <c r="H10" s="10"/>
    </row>
    <row r="11" customFormat="false" ht="15" hidden="false" customHeight="false" outlineLevel="0" collapsed="false">
      <c r="A11" s="3" t="s">
        <v>9</v>
      </c>
      <c r="B11" s="11" t="n">
        <f aca="false">(C3-B3)/B3</f>
        <v>0.159337933522753</v>
      </c>
      <c r="C11" s="11" t="n">
        <f aca="false">(D3-C3)/C3</f>
        <v>0.0864778650898623</v>
      </c>
      <c r="D11" s="11" t="n">
        <f aca="false">(E3-D3)/D3</f>
        <v>0.0413190590425722</v>
      </c>
      <c r="E11" s="11" t="n">
        <f aca="false">(F3-E3)/E3</f>
        <v>0.0375477082831895</v>
      </c>
      <c r="F11" s="11" t="n">
        <f aca="false">(G3-F3)/F3</f>
        <v>0.0339685169842585</v>
      </c>
      <c r="G11" s="5"/>
      <c r="H11" s="5"/>
    </row>
    <row r="12" customFormat="false" ht="15" hidden="false" customHeight="false" outlineLevel="0" collapsed="false">
      <c r="A12" s="6" t="s">
        <v>11</v>
      </c>
      <c r="B12" s="12" t="n">
        <f aca="false">(C4-B4)/B4</f>
        <v>0.168075117370892</v>
      </c>
      <c r="C12" s="12" t="n">
        <f aca="false">(D4-C4)/C4</f>
        <v>0.219989281886388</v>
      </c>
      <c r="D12" s="12" t="n">
        <f aca="false">(E4-D4)/D4</f>
        <v>0</v>
      </c>
      <c r="E12" s="12" t="n">
        <f aca="false">(F4-E4)/E4</f>
        <v>0.0747309466285965</v>
      </c>
      <c r="F12" s="12" t="n">
        <f aca="false">(G4-F4)/F4</f>
        <v>0.0780156337812293</v>
      </c>
      <c r="G12" s="8"/>
      <c r="H12" s="8"/>
    </row>
    <row r="13" customFormat="false" ht="15" hidden="false" customHeight="false" outlineLevel="0" collapsed="false">
      <c r="A13" s="3" t="s">
        <v>13</v>
      </c>
      <c r="B13" s="11" t="n">
        <f aca="false">(C5-B5)/B5</f>
        <v>0.167342923890323</v>
      </c>
      <c r="C13" s="11" t="n">
        <f aca="false">(D5-C5)/C5</f>
        <v>0.0950073730777333</v>
      </c>
      <c r="D13" s="11" t="n">
        <f aca="false">(E5-D5)/D5</f>
        <v>0.0732974220854175</v>
      </c>
      <c r="E13" s="11" t="n">
        <f aca="false">(F5-E5)/E5</f>
        <v>-0.028051622154508</v>
      </c>
      <c r="F13" s="11" t="n">
        <f aca="false">(G5-F5)/F5</f>
        <v>0.0327339787920701</v>
      </c>
      <c r="G13" s="5"/>
      <c r="H13" s="5"/>
    </row>
    <row r="14" customFormat="false" ht="15" hidden="false" customHeight="false" outlineLevel="0" collapsed="false">
      <c r="A14" s="6" t="s">
        <v>15</v>
      </c>
      <c r="B14" s="12" t="n">
        <f aca="false">(C6-B6)/B6</f>
        <v>0.0567154876908694</v>
      </c>
      <c r="C14" s="12" t="n">
        <f aca="false">(D6-C6)/C6</f>
        <v>0.157672269733609</v>
      </c>
      <c r="D14" s="12" t="n">
        <f aca="false">(E6-D6)/D6</f>
        <v>0.129234949477796</v>
      </c>
      <c r="E14" s="12" t="n">
        <f aca="false">(F6-E6)/E6</f>
        <v>0.0715843296488458</v>
      </c>
      <c r="F14" s="12" t="n">
        <f aca="false">(G6-F6)/F6</f>
        <v>0.0806259209880008</v>
      </c>
      <c r="G14" s="8"/>
      <c r="H14" s="8"/>
    </row>
    <row r="15" customFormat="false" ht="15" hidden="false" customHeight="false" outlineLevel="0" collapsed="false">
      <c r="A15" s="3" t="s">
        <v>17</v>
      </c>
      <c r="B15" s="11" t="n">
        <f aca="false">(C7-B7)/B7</f>
        <v>0.140004963115031</v>
      </c>
      <c r="C15" s="11" t="n">
        <f aca="false">(D7-C7)/C7</f>
        <v>0.218886668117864</v>
      </c>
      <c r="D15" s="11" t="n">
        <f aca="false">(E7-D7)/D7</f>
        <v>0.0408643699061597</v>
      </c>
      <c r="E15" s="11" t="n">
        <f aca="false">(F7-E7)/E7</f>
        <v>0.012228790691145</v>
      </c>
      <c r="F15" s="11" t="n">
        <f aca="false">(G7-F7)/F7</f>
        <v>0.0355189151706603</v>
      </c>
      <c r="G15" s="5"/>
      <c r="H15" s="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8</v>
      </c>
    </row>
    <row r="3" customFormat="false" ht="15" hidden="false" customHeight="false" outlineLevel="0" collapsed="false">
      <c r="A3" s="3" t="s">
        <v>9</v>
      </c>
      <c r="B3" s="5" t="s">
        <v>32</v>
      </c>
      <c r="C3" s="5" t="s">
        <v>4</v>
      </c>
      <c r="D3" s="4" t="n">
        <v>6780</v>
      </c>
      <c r="E3" s="5" t="s">
        <v>33</v>
      </c>
      <c r="F3" s="5" t="s">
        <v>33</v>
      </c>
      <c r="G3" s="5" t="s">
        <v>34</v>
      </c>
      <c r="H3" s="5"/>
    </row>
    <row r="4" customFormat="false" ht="15" hidden="false" customHeight="false" outlineLevel="0" collapsed="false">
      <c r="A4" s="6" t="s">
        <v>9</v>
      </c>
      <c r="B4" s="8" t="s">
        <v>35</v>
      </c>
      <c r="C4" s="8" t="s">
        <v>4</v>
      </c>
      <c r="D4" s="7" t="n">
        <v>6917</v>
      </c>
      <c r="E4" s="12" t="n">
        <f aca="false">IF(A4=A3,(D4-D3)/D3,"—")</f>
        <v>0.0202064896755162</v>
      </c>
      <c r="F4" s="8" t="s">
        <v>33</v>
      </c>
      <c r="G4" s="8" t="s">
        <v>34</v>
      </c>
      <c r="H4" s="8"/>
    </row>
    <row r="5" customFormat="false" ht="15" hidden="false" customHeight="false" outlineLevel="0" collapsed="false">
      <c r="A5" s="3" t="s">
        <v>9</v>
      </c>
      <c r="B5" s="5" t="s">
        <v>36</v>
      </c>
      <c r="C5" s="5" t="s">
        <v>4</v>
      </c>
      <c r="D5" s="4" t="n">
        <v>7000</v>
      </c>
      <c r="E5" s="11" t="n">
        <f aca="false">IF(A5=A4,(D5-D4)/D4,"—")</f>
        <v>0.0119994217146162</v>
      </c>
      <c r="F5" s="5" t="s">
        <v>33</v>
      </c>
      <c r="G5" s="5" t="s">
        <v>37</v>
      </c>
      <c r="H5" s="5"/>
    </row>
    <row r="6" customFormat="false" ht="15" hidden="false" customHeight="false" outlineLevel="0" collapsed="false">
      <c r="A6" s="6" t="s">
        <v>9</v>
      </c>
      <c r="B6" s="8" t="s">
        <v>38</v>
      </c>
      <c r="C6" s="8" t="s">
        <v>4</v>
      </c>
      <c r="D6" s="7" t="n">
        <v>7232</v>
      </c>
      <c r="E6" s="12" t="n">
        <f aca="false">IF(A6=A5,(D6-D5)/D5,"—")</f>
        <v>0.0331428571428571</v>
      </c>
      <c r="F6" s="8" t="s">
        <v>33</v>
      </c>
      <c r="G6" s="8" t="s">
        <v>34</v>
      </c>
      <c r="H6" s="8"/>
    </row>
    <row r="7" customFormat="false" ht="15" hidden="false" customHeight="false" outlineLevel="0" collapsed="false">
      <c r="A7" s="3" t="s">
        <v>9</v>
      </c>
      <c r="B7" s="5" t="s">
        <v>32</v>
      </c>
      <c r="C7" s="5" t="s">
        <v>5</v>
      </c>
      <c r="D7" s="4" t="n">
        <v>7000</v>
      </c>
      <c r="E7" s="11" t="n">
        <f aca="false">IF(A7=A6,(D7-D6)/D6,"—")</f>
        <v>-0.0320796460176991</v>
      </c>
      <c r="F7" s="11" t="n">
        <f aca="false">IF(A7=A3,(D7-D3)/D3,"—")</f>
        <v>0.0324483775811209</v>
      </c>
      <c r="G7" s="5" t="s">
        <v>37</v>
      </c>
      <c r="H7" s="5"/>
    </row>
    <row r="8" customFormat="false" ht="15" hidden="false" customHeight="false" outlineLevel="0" collapsed="false">
      <c r="A8" s="6" t="s">
        <v>9</v>
      </c>
      <c r="B8" s="8" t="s">
        <v>35</v>
      </c>
      <c r="C8" s="8" t="s">
        <v>5</v>
      </c>
      <c r="D8" s="7" t="n">
        <v>7506</v>
      </c>
      <c r="E8" s="12" t="n">
        <f aca="false">IF(A8=A7,(D8-D7)/D7,"—")</f>
        <v>0.0722857142857143</v>
      </c>
      <c r="F8" s="12" t="n">
        <f aca="false">IF(A8=A4,(D8-D4)/D4,"—")</f>
        <v>0.085152522769987</v>
      </c>
      <c r="G8" s="8" t="s">
        <v>34</v>
      </c>
      <c r="H8" s="8"/>
    </row>
    <row r="9" customFormat="false" ht="15" hidden="false" customHeight="false" outlineLevel="0" collapsed="false">
      <c r="A9" s="3" t="s">
        <v>9</v>
      </c>
      <c r="B9" s="5" t="s">
        <v>36</v>
      </c>
      <c r="C9" s="5" t="s">
        <v>5</v>
      </c>
      <c r="D9" s="4" t="n">
        <v>7697</v>
      </c>
      <c r="E9" s="11" t="n">
        <f aca="false">IF(A9=A8,(D9-D8)/D8,"—")</f>
        <v>0.0254463096189715</v>
      </c>
      <c r="F9" s="11" t="n">
        <f aca="false">IF(A9=A5,(D9-D5)/D5,"—")</f>
        <v>0.0995714285714286</v>
      </c>
      <c r="G9" s="5" t="s">
        <v>34</v>
      </c>
      <c r="H9" s="5"/>
    </row>
    <row r="10" customFormat="false" ht="15" hidden="false" customHeight="false" outlineLevel="0" collapsed="false">
      <c r="A10" s="6" t="s">
        <v>9</v>
      </c>
      <c r="B10" s="8" t="s">
        <v>38</v>
      </c>
      <c r="C10" s="8" t="s">
        <v>5</v>
      </c>
      <c r="D10" s="7" t="n">
        <v>7880</v>
      </c>
      <c r="E10" s="12" t="n">
        <f aca="false">IF(A10=A9,(D10-D9)/D9,"—")</f>
        <v>0.0237754969468624</v>
      </c>
      <c r="F10" s="12" t="n">
        <f aca="false">IF(A10=A6,(D10-D6)/D6,"—")</f>
        <v>0.0896017699115044</v>
      </c>
      <c r="G10" s="8" t="s">
        <v>37</v>
      </c>
      <c r="H10" s="8"/>
    </row>
    <row r="11" customFormat="false" ht="15" hidden="false" customHeight="false" outlineLevel="0" collapsed="false">
      <c r="A11" s="3" t="s">
        <v>9</v>
      </c>
      <c r="B11" s="5" t="s">
        <v>32</v>
      </c>
      <c r="C11" s="5" t="s">
        <v>6</v>
      </c>
      <c r="D11" s="4" t="n">
        <v>7505</v>
      </c>
      <c r="E11" s="11" t="n">
        <f aca="false">IF(A11=A10,(D11-D10)/D10,"—")</f>
        <v>-0.0475888324873096</v>
      </c>
      <c r="F11" s="11" t="n">
        <f aca="false">IF(A11=A7,(D11-D7)/D7,"—")</f>
        <v>0.0721428571428572</v>
      </c>
      <c r="G11" s="5" t="s">
        <v>34</v>
      </c>
      <c r="H11" s="5"/>
    </row>
    <row r="12" customFormat="false" ht="15" hidden="false" customHeight="false" outlineLevel="0" collapsed="false">
      <c r="A12" s="6" t="s">
        <v>9</v>
      </c>
      <c r="B12" s="8" t="s">
        <v>35</v>
      </c>
      <c r="C12" s="8" t="s">
        <v>6</v>
      </c>
      <c r="D12" s="7" t="n">
        <v>7713</v>
      </c>
      <c r="E12" s="12" t="n">
        <f aca="false">IF(A12=A11,(D12-D11)/D11,"—")</f>
        <v>0.0277148567621586</v>
      </c>
      <c r="F12" s="12" t="n">
        <f aca="false">IF(A12=A8,(D12-D8)/D8,"—")</f>
        <v>0.0275779376498801</v>
      </c>
      <c r="G12" s="8" t="s">
        <v>34</v>
      </c>
      <c r="H12" s="8"/>
    </row>
    <row r="13" customFormat="false" ht="15" hidden="false" customHeight="false" outlineLevel="0" collapsed="false">
      <c r="A13" s="3" t="s">
        <v>9</v>
      </c>
      <c r="B13" s="5" t="s">
        <v>36</v>
      </c>
      <c r="C13" s="5" t="s">
        <v>6</v>
      </c>
      <c r="D13" s="4" t="n">
        <v>7901</v>
      </c>
      <c r="E13" s="11" t="n">
        <f aca="false">IF(A13=A12,(D13-D12)/D12,"—")</f>
        <v>0.024374432775833</v>
      </c>
      <c r="F13" s="11" t="n">
        <f aca="false">IF(A13=A9,(D13-D9)/D9,"—")</f>
        <v>0.0265038326620761</v>
      </c>
      <c r="G13" s="5" t="s">
        <v>37</v>
      </c>
      <c r="H13" s="5"/>
    </row>
    <row r="14" customFormat="false" ht="15" hidden="false" customHeight="false" outlineLevel="0" collapsed="false">
      <c r="A14" s="6" t="s">
        <v>9</v>
      </c>
      <c r="B14" s="8" t="s">
        <v>38</v>
      </c>
      <c r="C14" s="8" t="s">
        <v>6</v>
      </c>
      <c r="D14" s="7" t="n">
        <v>8056</v>
      </c>
      <c r="E14" s="12" t="n">
        <f aca="false">IF(A14=A13,(D14-D13)/D13,"—")</f>
        <v>0.019617769902544</v>
      </c>
      <c r="F14" s="12" t="n">
        <f aca="false">IF(A14=A10,(D14-D10)/D10,"—")</f>
        <v>0.0223350253807107</v>
      </c>
      <c r="G14" s="8" t="s">
        <v>34</v>
      </c>
      <c r="H14" s="8"/>
    </row>
    <row r="15" customFormat="false" ht="15" hidden="false" customHeight="false" outlineLevel="0" collapsed="false">
      <c r="A15" s="3" t="s">
        <v>9</v>
      </c>
      <c r="B15" s="5" t="s">
        <v>32</v>
      </c>
      <c r="C15" s="5" t="s">
        <v>39</v>
      </c>
      <c r="D15" s="4" t="n">
        <v>7412</v>
      </c>
      <c r="E15" s="11" t="n">
        <f aca="false">IF(A15=A14,(D15-D14)/D14,"—")</f>
        <v>-0.0799404170804369</v>
      </c>
      <c r="F15" s="11" t="n">
        <f aca="false">IF(A15=A11,(D15-D11)/D11,"—")</f>
        <v>-0.0123917388407728</v>
      </c>
      <c r="G15" s="5" t="s">
        <v>37</v>
      </c>
      <c r="H15" s="5"/>
    </row>
    <row r="16" customFormat="false" ht="15" hidden="false" customHeight="false" outlineLevel="0" collapsed="false">
      <c r="A16" s="6" t="s">
        <v>9</v>
      </c>
      <c r="B16" s="8" t="s">
        <v>35</v>
      </c>
      <c r="C16" s="8" t="s">
        <v>39</v>
      </c>
      <c r="D16" s="7" t="n">
        <v>7794</v>
      </c>
      <c r="E16" s="12" t="n">
        <f aca="false">IF(A16=A15,(D16-D15)/D15,"—")</f>
        <v>0.051538046411225</v>
      </c>
      <c r="F16" s="12" t="n">
        <f aca="false">IF(A16=A12,(D16-D12)/D12,"—")</f>
        <v>0.0105017502917153</v>
      </c>
      <c r="G16" s="8" t="s">
        <v>34</v>
      </c>
      <c r="H16" s="8"/>
    </row>
    <row r="17" customFormat="false" ht="15" hidden="false" customHeight="false" outlineLevel="0" collapsed="false">
      <c r="A17" s="3" t="s">
        <v>9</v>
      </c>
      <c r="B17" s="5" t="s">
        <v>36</v>
      </c>
      <c r="C17" s="5" t="s">
        <v>39</v>
      </c>
      <c r="D17" s="4" t="n">
        <v>7994</v>
      </c>
      <c r="E17" s="11" t="n">
        <f aca="false">IF(A17=A16,(D17-D16)/D16,"—")</f>
        <v>0.0256607646907878</v>
      </c>
      <c r="F17" s="11" t="n">
        <f aca="false">IF(A17=A13,(D17-D13)/D13,"—")</f>
        <v>0.0117706619415264</v>
      </c>
      <c r="G17" s="5" t="s">
        <v>34</v>
      </c>
      <c r="H17" s="5"/>
    </row>
    <row r="18" customFormat="false" ht="15" hidden="false" customHeight="false" outlineLevel="0" collapsed="false">
      <c r="A18" s="6" t="s">
        <v>9</v>
      </c>
      <c r="B18" s="8" t="s">
        <v>38</v>
      </c>
      <c r="C18" s="8" t="s">
        <v>7</v>
      </c>
      <c r="D18" s="7" t="n">
        <v>8000</v>
      </c>
      <c r="E18" s="12" t="n">
        <f aca="false">IF(A18=A17,(D18-D17)/D17,"—")</f>
        <v>0.000750562922191644</v>
      </c>
      <c r="F18" s="12" t="n">
        <f aca="false">IF(A18=A14,(D18-D14)/D14,"—")</f>
        <v>-0.00695134061569017</v>
      </c>
      <c r="G18" s="8" t="s">
        <v>37</v>
      </c>
      <c r="H18" s="8" t="s">
        <v>40</v>
      </c>
    </row>
    <row r="19" customFormat="false" ht="15" hidden="false" customHeight="false" outlineLevel="0" collapsed="false">
      <c r="A19" s="3" t="s">
        <v>11</v>
      </c>
      <c r="B19" s="5" t="s">
        <v>32</v>
      </c>
      <c r="C19" s="5" t="s">
        <v>4</v>
      </c>
      <c r="D19" s="4" t="n">
        <v>3520</v>
      </c>
      <c r="E19" s="11" t="str">
        <f aca="false">IF(A19=A18,(D19-D18)/D18,"—")</f>
        <v>—</v>
      </c>
      <c r="F19" s="11" t="str">
        <f aca="false">IF(A19=A15,(D19-D15)/D15,"—")</f>
        <v>—</v>
      </c>
      <c r="G19" s="5" t="s">
        <v>34</v>
      </c>
      <c r="H19" s="5"/>
    </row>
    <row r="20" customFormat="false" ht="15" hidden="false" customHeight="false" outlineLevel="0" collapsed="false">
      <c r="A20" s="6" t="s">
        <v>11</v>
      </c>
      <c r="B20" s="8" t="s">
        <v>35</v>
      </c>
      <c r="C20" s="8" t="s">
        <v>4</v>
      </c>
      <c r="D20" s="7" t="n">
        <v>3720</v>
      </c>
      <c r="E20" s="12" t="n">
        <f aca="false">IF(A20=A19,(D20-D19)/D19,"—")</f>
        <v>0.0568181818181818</v>
      </c>
      <c r="F20" s="12" t="str">
        <f aca="false">IF(A20=A16,(D20-D16)/D16,"—")</f>
        <v>—</v>
      </c>
      <c r="G20" s="8" t="s">
        <v>34</v>
      </c>
      <c r="H20" s="8"/>
    </row>
    <row r="21" customFormat="false" ht="15" hidden="false" customHeight="false" outlineLevel="0" collapsed="false">
      <c r="A21" s="3" t="s">
        <v>11</v>
      </c>
      <c r="B21" s="5" t="s">
        <v>36</v>
      </c>
      <c r="C21" s="5" t="s">
        <v>4</v>
      </c>
      <c r="D21" s="4" t="n">
        <v>4070</v>
      </c>
      <c r="E21" s="11" t="n">
        <f aca="false">IF(A21=A20,(D21-D20)/D20,"—")</f>
        <v>0.0940860215053763</v>
      </c>
      <c r="F21" s="11" t="str">
        <f aca="false">IF(A21=A17,(D21-D17)/D17,"—")</f>
        <v>—</v>
      </c>
      <c r="G21" s="5" t="s">
        <v>37</v>
      </c>
      <c r="H21" s="5"/>
    </row>
    <row r="22" customFormat="false" ht="15" hidden="false" customHeight="false" outlineLevel="0" collapsed="false">
      <c r="A22" s="6" t="s">
        <v>11</v>
      </c>
      <c r="B22" s="8" t="s">
        <v>38</v>
      </c>
      <c r="C22" s="8" t="s">
        <v>4</v>
      </c>
      <c r="D22" s="7" t="n">
        <v>4280</v>
      </c>
      <c r="E22" s="12" t="n">
        <f aca="false">IF(A22=A21,(D22-D21)/D21,"—")</f>
        <v>0.0515970515970516</v>
      </c>
      <c r="F22" s="12" t="str">
        <f aca="false">IF(A22=A18,(D22-D18)/D18,"—")</f>
        <v>—</v>
      </c>
      <c r="G22" s="8" t="s">
        <v>34</v>
      </c>
      <c r="H22" s="8"/>
    </row>
    <row r="23" customFormat="false" ht="15" hidden="false" customHeight="false" outlineLevel="0" collapsed="false">
      <c r="A23" s="3" t="s">
        <v>11</v>
      </c>
      <c r="B23" s="5" t="s">
        <v>32</v>
      </c>
      <c r="C23" s="5" t="s">
        <v>5</v>
      </c>
      <c r="D23" s="4" t="n">
        <v>4270</v>
      </c>
      <c r="E23" s="11" t="n">
        <f aca="false">IF(A23=A22,(D23-D22)/D22,"—")</f>
        <v>-0.00233644859813084</v>
      </c>
      <c r="F23" s="11" t="n">
        <f aca="false">IF(A23=A19,(D23-D19)/D19,"—")</f>
        <v>0.213068181818182</v>
      </c>
      <c r="G23" s="5" t="s">
        <v>37</v>
      </c>
      <c r="H23" s="5"/>
    </row>
    <row r="24" customFormat="false" ht="15" hidden="false" customHeight="false" outlineLevel="0" collapsed="false">
      <c r="A24" s="6" t="s">
        <v>11</v>
      </c>
      <c r="B24" s="8" t="s">
        <v>35</v>
      </c>
      <c r="C24" s="8" t="s">
        <v>5</v>
      </c>
      <c r="D24" s="7" t="n">
        <v>4555</v>
      </c>
      <c r="E24" s="12" t="n">
        <f aca="false">IF(A24=A23,(D24-D23)/D23,"—")</f>
        <v>0.0667447306791569</v>
      </c>
      <c r="F24" s="12" t="n">
        <f aca="false">IF(A24=A20,(D24-D20)/D20,"—")</f>
        <v>0.224462365591398</v>
      </c>
      <c r="G24" s="8" t="s">
        <v>34</v>
      </c>
      <c r="H24" s="8"/>
    </row>
    <row r="25" customFormat="false" ht="15" hidden="false" customHeight="false" outlineLevel="0" collapsed="false">
      <c r="A25" s="3" t="s">
        <v>11</v>
      </c>
      <c r="B25" s="5" t="s">
        <v>36</v>
      </c>
      <c r="C25" s="5" t="s">
        <v>5</v>
      </c>
      <c r="D25" s="4" t="n">
        <v>4659</v>
      </c>
      <c r="E25" s="11" t="n">
        <f aca="false">IF(A25=A24,(D25-D24)/D24,"—")</f>
        <v>0.0228320526893524</v>
      </c>
      <c r="F25" s="11" t="n">
        <f aca="false">IF(A25=A21,(D25-D21)/D21,"—")</f>
        <v>0.144717444717445</v>
      </c>
      <c r="G25" s="5" t="s">
        <v>34</v>
      </c>
      <c r="H25" s="5"/>
    </row>
    <row r="26" customFormat="false" ht="15" hidden="false" customHeight="false" outlineLevel="0" collapsed="false">
      <c r="A26" s="6" t="s">
        <v>11</v>
      </c>
      <c r="B26" s="8" t="s">
        <v>38</v>
      </c>
      <c r="C26" s="8" t="s">
        <v>5</v>
      </c>
      <c r="D26" s="7" t="n">
        <v>4554</v>
      </c>
      <c r="E26" s="12" t="n">
        <f aca="false">IF(A26=A25,(D26-D25)/D25,"—")</f>
        <v>-0.0225370251126851</v>
      </c>
      <c r="F26" s="12" t="n">
        <f aca="false">IF(A26=A22,(D26-D22)/D22,"—")</f>
        <v>0.0640186915887851</v>
      </c>
      <c r="G26" s="8" t="s">
        <v>37</v>
      </c>
      <c r="H26" s="8"/>
    </row>
    <row r="27" customFormat="false" ht="15" hidden="false" customHeight="false" outlineLevel="0" collapsed="false">
      <c r="A27" s="3" t="s">
        <v>11</v>
      </c>
      <c r="B27" s="5" t="s">
        <v>32</v>
      </c>
      <c r="C27" s="5" t="s">
        <v>6</v>
      </c>
      <c r="D27" s="4" t="n">
        <v>4617</v>
      </c>
      <c r="E27" s="11" t="n">
        <f aca="false">IF(A27=A26,(D27-D26)/D26,"—")</f>
        <v>0.0138339920948617</v>
      </c>
      <c r="F27" s="11" t="n">
        <f aca="false">IF(A27=A23,(D27-D23)/D23,"—")</f>
        <v>0.0812646370023419</v>
      </c>
      <c r="G27" s="5" t="s">
        <v>34</v>
      </c>
      <c r="H27" s="5"/>
    </row>
    <row r="28" customFormat="false" ht="15" hidden="false" customHeight="false" outlineLevel="0" collapsed="false">
      <c r="A28" s="6" t="s">
        <v>11</v>
      </c>
      <c r="B28" s="8" t="s">
        <v>35</v>
      </c>
      <c r="C28" s="8" t="s">
        <v>6</v>
      </c>
      <c r="D28" s="7" t="n">
        <v>4999</v>
      </c>
      <c r="E28" s="12" t="n">
        <f aca="false">IF(A28=A27,(D28-D27)/D27,"—")</f>
        <v>0.0827377084687026</v>
      </c>
      <c r="F28" s="12" t="n">
        <f aca="false">IF(A28=A24,(D28-D24)/D24,"—")</f>
        <v>0.0974753018660812</v>
      </c>
      <c r="G28" s="8" t="s">
        <v>34</v>
      </c>
      <c r="H28" s="8"/>
    </row>
    <row r="29" customFormat="false" ht="15" hidden="false" customHeight="false" outlineLevel="0" collapsed="false">
      <c r="A29" s="3" t="s">
        <v>11</v>
      </c>
      <c r="B29" s="5" t="s">
        <v>36</v>
      </c>
      <c r="C29" s="5" t="s">
        <v>6</v>
      </c>
      <c r="D29" s="4" t="n">
        <v>4877</v>
      </c>
      <c r="E29" s="11" t="n">
        <f aca="false">IF(A29=A28,(D29-D28)/D28,"—")</f>
        <v>-0.0244048809761952</v>
      </c>
      <c r="F29" s="11" t="n">
        <f aca="false">IF(A29=A25,(D29-D25)/D25,"—")</f>
        <v>0.0467911569006225</v>
      </c>
      <c r="G29" s="5" t="s">
        <v>37</v>
      </c>
      <c r="H29" s="5"/>
    </row>
    <row r="30" customFormat="false" ht="15" hidden="false" customHeight="false" outlineLevel="0" collapsed="false">
      <c r="A30" s="6" t="s">
        <v>11</v>
      </c>
      <c r="B30" s="8" t="s">
        <v>38</v>
      </c>
      <c r="C30" s="8" t="s">
        <v>6</v>
      </c>
      <c r="D30" s="7" t="n">
        <v>4763</v>
      </c>
      <c r="E30" s="12" t="n">
        <f aca="false">IF(A30=A29,(D30-D29)/D29,"—")</f>
        <v>-0.0233750256305106</v>
      </c>
      <c r="F30" s="12" t="n">
        <f aca="false">IF(A30=A26,(D30-D26)/D26,"—")</f>
        <v>0.0458937198067633</v>
      </c>
      <c r="G30" s="8" t="s">
        <v>34</v>
      </c>
      <c r="H30" s="8"/>
    </row>
    <row r="31" customFormat="false" ht="15" hidden="false" customHeight="false" outlineLevel="0" collapsed="false">
      <c r="A31" s="3" t="s">
        <v>11</v>
      </c>
      <c r="B31" s="5" t="s">
        <v>32</v>
      </c>
      <c r="C31" s="5" t="s">
        <v>39</v>
      </c>
      <c r="D31" s="4" t="n">
        <v>4714</v>
      </c>
      <c r="E31" s="11" t="n">
        <f aca="false">IF(A31=A30,(D31-D30)/D30,"—")</f>
        <v>-0.0102876338442158</v>
      </c>
      <c r="F31" s="11" t="n">
        <f aca="false">IF(A31=A27,(D31-D27)/D27,"—")</f>
        <v>0.0210093134069742</v>
      </c>
      <c r="G31" s="5" t="s">
        <v>37</v>
      </c>
      <c r="H31" s="5"/>
    </row>
    <row r="32" customFormat="false" ht="15" hidden="false" customHeight="false" outlineLevel="0" collapsed="false">
      <c r="A32" s="6" t="s">
        <v>11</v>
      </c>
      <c r="B32" s="8" t="s">
        <v>35</v>
      </c>
      <c r="C32" s="8" t="s">
        <v>39</v>
      </c>
      <c r="D32" s="7" t="n">
        <v>4986</v>
      </c>
      <c r="E32" s="12" t="n">
        <f aca="false">IF(A32=A31,(D32-D31)/D31,"—")</f>
        <v>0.0577004666949512</v>
      </c>
      <c r="F32" s="12" t="n">
        <f aca="false">IF(A32=A28,(D32-D28)/D28,"—")</f>
        <v>-0.0026005201040208</v>
      </c>
      <c r="G32" s="8" t="s">
        <v>34</v>
      </c>
      <c r="H32" s="8"/>
    </row>
    <row r="33" customFormat="false" ht="15" hidden="false" customHeight="false" outlineLevel="0" collapsed="false">
      <c r="A33" s="3" t="s">
        <v>11</v>
      </c>
      <c r="B33" s="5" t="s">
        <v>36</v>
      </c>
      <c r="C33" s="5" t="s">
        <v>39</v>
      </c>
      <c r="D33" s="4" t="n">
        <v>5104</v>
      </c>
      <c r="E33" s="11" t="n">
        <f aca="false">IF(A33=A32,(D33-D32)/D32,"—")</f>
        <v>0.0236662655435219</v>
      </c>
      <c r="F33" s="11" t="n">
        <f aca="false">IF(A33=A29,(D33-D29)/D29,"—")</f>
        <v>0.046545007176543</v>
      </c>
      <c r="G33" s="5" t="s">
        <v>34</v>
      </c>
      <c r="H33" s="5"/>
    </row>
    <row r="34" customFormat="false" ht="15" hidden="false" customHeight="false" outlineLevel="0" collapsed="false">
      <c r="A34" s="6" t="s">
        <v>11</v>
      </c>
      <c r="B34" s="8" t="s">
        <v>38</v>
      </c>
      <c r="C34" s="8" t="s">
        <v>7</v>
      </c>
      <c r="D34" s="7" t="n">
        <v>5296</v>
      </c>
      <c r="E34" s="12" t="n">
        <f aca="false">IF(A34=A33,(D34-D33)/D33,"—")</f>
        <v>0.0376175548589342</v>
      </c>
      <c r="F34" s="12" t="n">
        <f aca="false">IF(A34=A30,(D34-D30)/D30,"—")</f>
        <v>0.111904262019735</v>
      </c>
      <c r="G34" s="8" t="s">
        <v>37</v>
      </c>
      <c r="H34" s="8" t="s">
        <v>40</v>
      </c>
    </row>
    <row r="35" customFormat="false" ht="15" hidden="false" customHeight="false" outlineLevel="0" collapsed="false">
      <c r="A35" s="3" t="s">
        <v>13</v>
      </c>
      <c r="B35" s="5" t="s">
        <v>32</v>
      </c>
      <c r="C35" s="5" t="s">
        <v>4</v>
      </c>
      <c r="D35" s="4" t="n">
        <v>1960</v>
      </c>
      <c r="E35" s="11" t="str">
        <f aca="false">IF(A35=A34,(D35-D34)/D34,"—")</f>
        <v>—</v>
      </c>
      <c r="F35" s="11" t="str">
        <f aca="false">IF(A35=A31,(D35-D31)/D31,"—")</f>
        <v>—</v>
      </c>
      <c r="G35" s="5" t="s">
        <v>34</v>
      </c>
      <c r="H35" s="5"/>
    </row>
    <row r="36" customFormat="false" ht="15" hidden="false" customHeight="false" outlineLevel="0" collapsed="false">
      <c r="A36" s="6" t="s">
        <v>13</v>
      </c>
      <c r="B36" s="8" t="s">
        <v>35</v>
      </c>
      <c r="C36" s="8" t="s">
        <v>4</v>
      </c>
      <c r="D36" s="7" t="n">
        <v>2097</v>
      </c>
      <c r="E36" s="12" t="n">
        <f aca="false">IF(A36=A35,(D36-D35)/D35,"—")</f>
        <v>0.0698979591836735</v>
      </c>
      <c r="F36" s="12" t="str">
        <f aca="false">IF(A36=A32,(D36-D32)/D32,"—")</f>
        <v>—</v>
      </c>
      <c r="G36" s="8" t="s">
        <v>34</v>
      </c>
      <c r="H36" s="8"/>
    </row>
    <row r="37" customFormat="false" ht="15" hidden="false" customHeight="false" outlineLevel="0" collapsed="false">
      <c r="A37" s="3" t="s">
        <v>13</v>
      </c>
      <c r="B37" s="5" t="s">
        <v>36</v>
      </c>
      <c r="C37" s="5" t="s">
        <v>4</v>
      </c>
      <c r="D37" s="4" t="n">
        <v>2197</v>
      </c>
      <c r="E37" s="11" t="n">
        <f aca="false">IF(A37=A36,(D37-D36)/D36,"—")</f>
        <v>0.0476871721506915</v>
      </c>
      <c r="F37" s="11" t="str">
        <f aca="false">IF(A37=A33,(D37-D33)/D33,"—")</f>
        <v>—</v>
      </c>
      <c r="G37" s="5" t="s">
        <v>37</v>
      </c>
      <c r="H37" s="5"/>
    </row>
    <row r="38" customFormat="false" ht="15" hidden="false" customHeight="false" outlineLevel="0" collapsed="false">
      <c r="A38" s="6" t="s">
        <v>13</v>
      </c>
      <c r="B38" s="8" t="s">
        <v>38</v>
      </c>
      <c r="C38" s="8" t="s">
        <v>4</v>
      </c>
      <c r="D38" s="7" t="n">
        <v>2398</v>
      </c>
      <c r="E38" s="12" t="n">
        <f aca="false">IF(A38=A37,(D38-D37)/D37,"—")</f>
        <v>0.0914883932635412</v>
      </c>
      <c r="F38" s="12" t="str">
        <f aca="false">IF(A38=A34,(D38-D34)/D34,"—")</f>
        <v>—</v>
      </c>
      <c r="G38" s="8" t="s">
        <v>34</v>
      </c>
      <c r="H38" s="8"/>
    </row>
    <row r="39" customFormat="false" ht="15" hidden="false" customHeight="false" outlineLevel="0" collapsed="false">
      <c r="A39" s="3" t="s">
        <v>13</v>
      </c>
      <c r="B39" s="5" t="s">
        <v>32</v>
      </c>
      <c r="C39" s="5" t="s">
        <v>5</v>
      </c>
      <c r="D39" s="4" t="n">
        <v>2593</v>
      </c>
      <c r="E39" s="11" t="n">
        <f aca="false">IF(A39=A38,(D39-D38)/D38,"—")</f>
        <v>0.0813177648040033</v>
      </c>
      <c r="F39" s="11" t="n">
        <f aca="false">IF(A39=A35,(D39-D35)/D35,"—")</f>
        <v>0.322959183673469</v>
      </c>
      <c r="G39" s="5" t="s">
        <v>37</v>
      </c>
      <c r="H39" s="5"/>
    </row>
    <row r="40" customFormat="false" ht="15" hidden="false" customHeight="false" outlineLevel="0" collapsed="false">
      <c r="A40" s="6" t="s">
        <v>13</v>
      </c>
      <c r="B40" s="8" t="s">
        <v>35</v>
      </c>
      <c r="C40" s="8" t="s">
        <v>5</v>
      </c>
      <c r="D40" s="7" t="n">
        <v>2776</v>
      </c>
      <c r="E40" s="12" t="n">
        <f aca="false">IF(A40=A39,(D40-D39)/D39,"—")</f>
        <v>0.0705746239876591</v>
      </c>
      <c r="F40" s="12" t="n">
        <f aca="false">IF(A40=A36,(D40-D36)/D36,"—")</f>
        <v>0.323795898903195</v>
      </c>
      <c r="G40" s="8" t="s">
        <v>34</v>
      </c>
      <c r="H40" s="8"/>
    </row>
    <row r="41" customFormat="false" ht="15" hidden="false" customHeight="false" outlineLevel="0" collapsed="false">
      <c r="A41" s="3" t="s">
        <v>13</v>
      </c>
      <c r="B41" s="5" t="s">
        <v>36</v>
      </c>
      <c r="C41" s="5" t="s">
        <v>5</v>
      </c>
      <c r="D41" s="4" t="n">
        <v>2841</v>
      </c>
      <c r="E41" s="11" t="n">
        <f aca="false">IF(A41=A40,(D41-D40)/D40,"—")</f>
        <v>0.0234149855907781</v>
      </c>
      <c r="F41" s="11" t="n">
        <f aca="false">IF(A41=A37,(D41-D37)/D37,"—")</f>
        <v>0.293126991351843</v>
      </c>
      <c r="G41" s="5" t="s">
        <v>34</v>
      </c>
      <c r="H41" s="5"/>
    </row>
    <row r="42" customFormat="false" ht="15" hidden="false" customHeight="false" outlineLevel="0" collapsed="false">
      <c r="A42" s="6" t="s">
        <v>13</v>
      </c>
      <c r="B42" s="8" t="s">
        <v>38</v>
      </c>
      <c r="C42" s="8" t="s">
        <v>5</v>
      </c>
      <c r="D42" s="7" t="n">
        <v>2799</v>
      </c>
      <c r="E42" s="12" t="n">
        <f aca="false">IF(A42=A41,(D42-D41)/D41,"—")</f>
        <v>-0.0147835269271383</v>
      </c>
      <c r="F42" s="12" t="n">
        <f aca="false">IF(A42=A38,(D42-D38)/D38,"—")</f>
        <v>0.167222685571309</v>
      </c>
      <c r="G42" s="8" t="s">
        <v>37</v>
      </c>
      <c r="H42" s="8"/>
    </row>
    <row r="43" customFormat="false" ht="15" hidden="false" customHeight="false" outlineLevel="0" collapsed="false">
      <c r="A43" s="3" t="s">
        <v>13</v>
      </c>
      <c r="B43" s="5" t="s">
        <v>32</v>
      </c>
      <c r="C43" s="5" t="s">
        <v>6</v>
      </c>
      <c r="D43" s="4" t="n">
        <v>2763</v>
      </c>
      <c r="E43" s="11" t="n">
        <f aca="false">IF(A43=A42,(D43-D42)/D42,"—")</f>
        <v>-0.0128617363344051</v>
      </c>
      <c r="F43" s="11" t="n">
        <f aca="false">IF(A43=A39,(D43-D39)/D39,"—")</f>
        <v>0.0655611261087543</v>
      </c>
      <c r="G43" s="5" t="s">
        <v>34</v>
      </c>
      <c r="H43" s="5"/>
    </row>
    <row r="44" customFormat="false" ht="15" hidden="false" customHeight="false" outlineLevel="0" collapsed="false">
      <c r="A44" s="6" t="s">
        <v>13</v>
      </c>
      <c r="B44" s="8" t="s">
        <v>35</v>
      </c>
      <c r="C44" s="8" t="s">
        <v>6</v>
      </c>
      <c r="D44" s="7" t="n">
        <v>2745</v>
      </c>
      <c r="E44" s="12" t="n">
        <f aca="false">IF(A44=A43,(D44-D43)/D43,"—")</f>
        <v>-0.00651465798045603</v>
      </c>
      <c r="F44" s="12" t="n">
        <f aca="false">IF(A44=A40,(D44-D40)/D40,"—")</f>
        <v>-0.0111671469740634</v>
      </c>
      <c r="G44" s="8" t="s">
        <v>34</v>
      </c>
      <c r="H44" s="8"/>
    </row>
    <row r="45" customFormat="false" ht="15" hidden="false" customHeight="false" outlineLevel="0" collapsed="false">
      <c r="A45" s="3" t="s">
        <v>13</v>
      </c>
      <c r="B45" s="5" t="s">
        <v>36</v>
      </c>
      <c r="C45" s="5" t="s">
        <v>6</v>
      </c>
      <c r="D45" s="4" t="n">
        <v>2736</v>
      </c>
      <c r="E45" s="11" t="n">
        <f aca="false">IF(A45=A44,(D45-D44)/D44,"—")</f>
        <v>-0.00327868852459016</v>
      </c>
      <c r="F45" s="11" t="n">
        <f aca="false">IF(A45=A41,(D45-D41)/D41,"—")</f>
        <v>-0.0369588173178458</v>
      </c>
      <c r="G45" s="5" t="s">
        <v>37</v>
      </c>
      <c r="H45" s="5"/>
    </row>
    <row r="46" customFormat="false" ht="15" hidden="false" customHeight="false" outlineLevel="0" collapsed="false">
      <c r="A46" s="6" t="s">
        <v>13</v>
      </c>
      <c r="B46" s="8" t="s">
        <v>38</v>
      </c>
      <c r="C46" s="8" t="s">
        <v>6</v>
      </c>
      <c r="D46" s="7" t="n">
        <v>2786</v>
      </c>
      <c r="E46" s="12" t="n">
        <f aca="false">IF(A46=A45,(D46-D45)/D45,"—")</f>
        <v>0.0182748538011696</v>
      </c>
      <c r="F46" s="12" t="n">
        <f aca="false">IF(A46=A42,(D46-D42)/D42,"—")</f>
        <v>-0.00464451589853519</v>
      </c>
      <c r="G46" s="8" t="s">
        <v>34</v>
      </c>
      <c r="H46" s="8"/>
    </row>
    <row r="47" customFormat="false" ht="15" hidden="false" customHeight="false" outlineLevel="0" collapsed="false">
      <c r="A47" s="3" t="s">
        <v>13</v>
      </c>
      <c r="B47" s="5" t="s">
        <v>32</v>
      </c>
      <c r="C47" s="5" t="s">
        <v>39</v>
      </c>
      <c r="D47" s="4" t="n">
        <v>2635</v>
      </c>
      <c r="E47" s="11" t="n">
        <f aca="false">IF(A47=A46,(D47-D46)/D46,"—")</f>
        <v>-0.0541995692749462</v>
      </c>
      <c r="F47" s="11" t="n">
        <f aca="false">IF(A47=A43,(D47-D43)/D43,"—")</f>
        <v>-0.0463264567499095</v>
      </c>
      <c r="G47" s="5" t="s">
        <v>37</v>
      </c>
      <c r="H47" s="5"/>
    </row>
    <row r="48" customFormat="false" ht="15" hidden="false" customHeight="false" outlineLevel="0" collapsed="false">
      <c r="A48" s="6" t="s">
        <v>13</v>
      </c>
      <c r="B48" s="8" t="s">
        <v>35</v>
      </c>
      <c r="C48" s="8" t="s">
        <v>39</v>
      </c>
      <c r="D48" s="7" t="n">
        <v>2660</v>
      </c>
      <c r="E48" s="12" t="n">
        <f aca="false">IF(A48=A47,(D48-D47)/D47,"—")</f>
        <v>0.0094876660341556</v>
      </c>
      <c r="F48" s="12" t="n">
        <f aca="false">IF(A48=A44,(D48-D44)/D44,"—")</f>
        <v>-0.0309653916211293</v>
      </c>
      <c r="G48" s="8" t="s">
        <v>34</v>
      </c>
      <c r="H48" s="8"/>
    </row>
    <row r="49" customFormat="false" ht="15" hidden="false" customHeight="false" outlineLevel="0" collapsed="false">
      <c r="A49" s="3" t="s">
        <v>13</v>
      </c>
      <c r="B49" s="5" t="s">
        <v>36</v>
      </c>
      <c r="C49" s="5" t="s">
        <v>39</v>
      </c>
      <c r="D49" s="4" t="n">
        <v>2694</v>
      </c>
      <c r="E49" s="11" t="n">
        <f aca="false">IF(A49=A48,(D49-D48)/D48,"—")</f>
        <v>0.012781954887218</v>
      </c>
      <c r="F49" s="11" t="n">
        <f aca="false">IF(A49=A45,(D49-D45)/D45,"—")</f>
        <v>-0.0153508771929825</v>
      </c>
      <c r="G49" s="5" t="s">
        <v>34</v>
      </c>
      <c r="H49" s="5"/>
    </row>
    <row r="50" customFormat="false" ht="15" hidden="false" customHeight="false" outlineLevel="0" collapsed="false">
      <c r="A50" s="6" t="s">
        <v>13</v>
      </c>
      <c r="B50" s="8" t="s">
        <v>38</v>
      </c>
      <c r="C50" s="8" t="s">
        <v>7</v>
      </c>
      <c r="D50" s="7" t="n">
        <v>2723</v>
      </c>
      <c r="E50" s="12" t="n">
        <f aca="false">IF(A50=A49,(D50-D49)/D49,"—")</f>
        <v>0.0107646622123237</v>
      </c>
      <c r="F50" s="12" t="n">
        <f aca="false">IF(A50=A46,(D50-D46)/D46,"—")</f>
        <v>-0.0226130653266332</v>
      </c>
      <c r="G50" s="8" t="s">
        <v>37</v>
      </c>
      <c r="H50" s="8" t="s">
        <v>40</v>
      </c>
    </row>
    <row r="51" customFormat="false" ht="15" hidden="false" customHeight="false" outlineLevel="0" collapsed="false">
      <c r="A51" s="3" t="s">
        <v>15</v>
      </c>
      <c r="B51" s="5" t="s">
        <v>32</v>
      </c>
      <c r="C51" s="5" t="s">
        <v>4</v>
      </c>
      <c r="D51" s="4" t="n">
        <v>2660</v>
      </c>
      <c r="E51" s="11" t="str">
        <f aca="false">IF(A51=A50,(D51-D50)/D50,"—")</f>
        <v>—</v>
      </c>
      <c r="F51" s="11" t="str">
        <f aca="false">IF(A51=A47,(D51-D47)/D47,"—")</f>
        <v>—</v>
      </c>
      <c r="G51" s="5" t="s">
        <v>34</v>
      </c>
      <c r="H51" s="5"/>
    </row>
    <row r="52" customFormat="false" ht="15" hidden="false" customHeight="false" outlineLevel="0" collapsed="false">
      <c r="A52" s="6" t="s">
        <v>15</v>
      </c>
      <c r="B52" s="8" t="s">
        <v>35</v>
      </c>
      <c r="C52" s="8" t="s">
        <v>4</v>
      </c>
      <c r="D52" s="7" t="n">
        <v>2836</v>
      </c>
      <c r="E52" s="12" t="n">
        <f aca="false">IF(A52=A51,(D52-D51)/D51,"—")</f>
        <v>0.0661654135338346</v>
      </c>
      <c r="F52" s="12" t="str">
        <f aca="false">IF(A52=A48,(D52-D48)/D48,"—")</f>
        <v>—</v>
      </c>
      <c r="G52" s="8" t="s">
        <v>34</v>
      </c>
      <c r="H52" s="8"/>
    </row>
    <row r="53" customFormat="false" ht="15" hidden="false" customHeight="false" outlineLevel="0" collapsed="false">
      <c r="A53" s="3" t="s">
        <v>15</v>
      </c>
      <c r="B53" s="5" t="s">
        <v>36</v>
      </c>
      <c r="C53" s="5" t="s">
        <v>4</v>
      </c>
      <c r="D53" s="4" t="n">
        <v>3143</v>
      </c>
      <c r="E53" s="11" t="n">
        <f aca="false">IF(A53=A52,(D53-D52)/D52,"—")</f>
        <v>0.108251057827927</v>
      </c>
      <c r="F53" s="11" t="str">
        <f aca="false">IF(A53=A49,(D53-D49)/D49,"—")</f>
        <v>—</v>
      </c>
      <c r="G53" s="5" t="s">
        <v>37</v>
      </c>
      <c r="H53" s="5"/>
    </row>
    <row r="54" customFormat="false" ht="15" hidden="false" customHeight="false" outlineLevel="0" collapsed="false">
      <c r="A54" s="6" t="s">
        <v>15</v>
      </c>
      <c r="B54" s="8" t="s">
        <v>38</v>
      </c>
      <c r="C54" s="8" t="s">
        <v>4</v>
      </c>
      <c r="D54" s="7" t="n">
        <v>3261</v>
      </c>
      <c r="E54" s="12" t="n">
        <f aca="false">IF(A54=A53,(D54-D53)/D53,"—")</f>
        <v>0.037543748011454</v>
      </c>
      <c r="F54" s="12" t="str">
        <f aca="false">IF(A54=A50,(D54-D50)/D50,"—")</f>
        <v>—</v>
      </c>
      <c r="G54" s="8" t="s">
        <v>34</v>
      </c>
      <c r="H54" s="8"/>
    </row>
    <row r="55" customFormat="false" ht="15" hidden="false" customHeight="false" outlineLevel="0" collapsed="false">
      <c r="A55" s="3" t="s">
        <v>15</v>
      </c>
      <c r="B55" s="5" t="s">
        <v>32</v>
      </c>
      <c r="C55" s="5" t="s">
        <v>5</v>
      </c>
      <c r="D55" s="4" t="n">
        <v>3097</v>
      </c>
      <c r="E55" s="11" t="n">
        <f aca="false">IF(A55=A54,(D55-D54)/D54,"—")</f>
        <v>-0.0502913216804661</v>
      </c>
      <c r="F55" s="11" t="n">
        <f aca="false">IF(A55=A51,(D55-D51)/D51,"—")</f>
        <v>0.164285714285714</v>
      </c>
      <c r="G55" s="5" t="s">
        <v>37</v>
      </c>
      <c r="H55" s="5"/>
    </row>
    <row r="56" customFormat="false" ht="15" hidden="false" customHeight="false" outlineLevel="0" collapsed="false">
      <c r="A56" s="6" t="s">
        <v>15</v>
      </c>
      <c r="B56" s="8" t="s">
        <v>35</v>
      </c>
      <c r="C56" s="8" t="s">
        <v>5</v>
      </c>
      <c r="D56" s="7" t="n">
        <v>3312</v>
      </c>
      <c r="E56" s="12" t="n">
        <f aca="false">IF(A56=A55,(D56-D55)/D55,"—")</f>
        <v>0.0694220213109461</v>
      </c>
      <c r="F56" s="12" t="n">
        <f aca="false">IF(A56=A52,(D56-D52)/D52,"—")</f>
        <v>0.167842031029619</v>
      </c>
      <c r="G56" s="8" t="s">
        <v>34</v>
      </c>
      <c r="H56" s="8"/>
    </row>
    <row r="57" customFormat="false" ht="15" hidden="false" customHeight="false" outlineLevel="0" collapsed="false">
      <c r="A57" s="3" t="s">
        <v>15</v>
      </c>
      <c r="B57" s="5" t="s">
        <v>36</v>
      </c>
      <c r="C57" s="5" t="s">
        <v>5</v>
      </c>
      <c r="D57" s="4" t="n">
        <v>3440</v>
      </c>
      <c r="E57" s="11" t="n">
        <f aca="false">IF(A57=A56,(D57-D56)/D56,"—")</f>
        <v>0.0386473429951691</v>
      </c>
      <c r="F57" s="11" t="n">
        <f aca="false">IF(A57=A53,(D57-D53)/D53,"—")</f>
        <v>0.0944957047406936</v>
      </c>
      <c r="G57" s="5" t="s">
        <v>34</v>
      </c>
      <c r="H57" s="5"/>
    </row>
    <row r="58" customFormat="false" ht="15" hidden="false" customHeight="false" outlineLevel="0" collapsed="false">
      <c r="A58" s="6" t="s">
        <v>15</v>
      </c>
      <c r="B58" s="8" t="s">
        <v>38</v>
      </c>
      <c r="C58" s="8" t="s">
        <v>5</v>
      </c>
      <c r="D58" s="7" t="n">
        <v>3450</v>
      </c>
      <c r="E58" s="12" t="n">
        <f aca="false">IF(A58=A57,(D58-D57)/D57,"—")</f>
        <v>0.00290697674418605</v>
      </c>
      <c r="F58" s="12" t="n">
        <f aca="false">IF(A58=A54,(D58-D54)/D54,"—")</f>
        <v>0.0579576816927323</v>
      </c>
      <c r="G58" s="8" t="s">
        <v>37</v>
      </c>
      <c r="H58" s="8"/>
    </row>
    <row r="59" customFormat="false" ht="15" hidden="false" customHeight="false" outlineLevel="0" collapsed="false">
      <c r="A59" s="3" t="s">
        <v>15</v>
      </c>
      <c r="B59" s="5" t="s">
        <v>32</v>
      </c>
      <c r="C59" s="5" t="s">
        <v>6</v>
      </c>
      <c r="D59" s="4" t="n">
        <v>3534</v>
      </c>
      <c r="E59" s="11" t="n">
        <f aca="false">IF(A59=A58,(D59-D58)/D58,"—")</f>
        <v>0.0243478260869565</v>
      </c>
      <c r="F59" s="11" t="n">
        <f aca="false">IF(A59=A55,(D59-D55)/D55,"—")</f>
        <v>0.141104294478528</v>
      </c>
      <c r="G59" s="5" t="s">
        <v>34</v>
      </c>
      <c r="H59" s="5"/>
    </row>
    <row r="60" customFormat="false" ht="15" hidden="false" customHeight="false" outlineLevel="0" collapsed="false">
      <c r="A60" s="6" t="s">
        <v>15</v>
      </c>
      <c r="B60" s="8" t="s">
        <v>35</v>
      </c>
      <c r="C60" s="8" t="s">
        <v>6</v>
      </c>
      <c r="D60" s="7" t="n">
        <v>3444</v>
      </c>
      <c r="E60" s="12" t="n">
        <f aca="false">IF(A60=A59,(D60-D59)/D59,"—")</f>
        <v>-0.0254668930390492</v>
      </c>
      <c r="F60" s="12" t="n">
        <f aca="false">IF(A60=A56,(D60-D56)/D56,"—")</f>
        <v>0.0398550724637681</v>
      </c>
      <c r="G60" s="8" t="s">
        <v>34</v>
      </c>
      <c r="H60" s="8"/>
    </row>
    <row r="61" customFormat="false" ht="15" hidden="false" customHeight="false" outlineLevel="0" collapsed="false">
      <c r="A61" s="3" t="s">
        <v>15</v>
      </c>
      <c r="B61" s="5" t="s">
        <v>36</v>
      </c>
      <c r="C61" s="5" t="s">
        <v>6</v>
      </c>
      <c r="D61" s="4" t="n">
        <v>3499</v>
      </c>
      <c r="E61" s="11" t="n">
        <f aca="false">IF(A61=A60,(D61-D60)/D60,"—")</f>
        <v>0.0159698025551684</v>
      </c>
      <c r="F61" s="11" t="n">
        <f aca="false">IF(A61=A57,(D61-D57)/D57,"—")</f>
        <v>0.0171511627906977</v>
      </c>
      <c r="G61" s="5" t="s">
        <v>37</v>
      </c>
      <c r="H61" s="5"/>
    </row>
    <row r="62" customFormat="false" ht="15" hidden="false" customHeight="false" outlineLevel="0" collapsed="false">
      <c r="A62" s="6" t="s">
        <v>15</v>
      </c>
      <c r="B62" s="8" t="s">
        <v>38</v>
      </c>
      <c r="C62" s="8" t="s">
        <v>6</v>
      </c>
      <c r="D62" s="7" t="n">
        <v>3488</v>
      </c>
      <c r="E62" s="12" t="n">
        <f aca="false">IF(A62=A61,(D62-D61)/D61,"—")</f>
        <v>-0.00314375535867391</v>
      </c>
      <c r="F62" s="12" t="n">
        <f aca="false">IF(A62=A58,(D62-D58)/D58,"—")</f>
        <v>0.0110144927536232</v>
      </c>
      <c r="G62" s="8" t="s">
        <v>34</v>
      </c>
      <c r="H62" s="8"/>
    </row>
    <row r="63" customFormat="false" ht="15" hidden="false" customHeight="false" outlineLevel="0" collapsed="false">
      <c r="A63" s="3" t="s">
        <v>15</v>
      </c>
      <c r="B63" s="5" t="s">
        <v>32</v>
      </c>
      <c r="C63" s="5" t="s">
        <v>39</v>
      </c>
      <c r="D63" s="4" t="n">
        <v>3544</v>
      </c>
      <c r="E63" s="11" t="n">
        <f aca="false">IF(A63=A62,(D63-D62)/D62,"—")</f>
        <v>0.0160550458715596</v>
      </c>
      <c r="F63" s="11" t="n">
        <f aca="false">IF(A63=A59,(D63-D59)/D59,"—")</f>
        <v>0.00282965478211658</v>
      </c>
      <c r="G63" s="5" t="s">
        <v>37</v>
      </c>
      <c r="H63" s="5"/>
    </row>
    <row r="64" customFormat="false" ht="15" hidden="false" customHeight="false" outlineLevel="0" collapsed="false">
      <c r="A64" s="6" t="s">
        <v>15</v>
      </c>
      <c r="B64" s="8" t="s">
        <v>35</v>
      </c>
      <c r="C64" s="8" t="s">
        <v>39</v>
      </c>
      <c r="D64" s="7" t="n">
        <v>3738</v>
      </c>
      <c r="E64" s="12" t="n">
        <f aca="false">IF(A64=A63,(D64-D63)/D63,"—")</f>
        <v>0.0547404063205418</v>
      </c>
      <c r="F64" s="12" t="n">
        <f aca="false">IF(A64=A60,(D64-D60)/D60,"—")</f>
        <v>0.0853658536585366</v>
      </c>
      <c r="G64" s="8" t="s">
        <v>34</v>
      </c>
      <c r="H64" s="8"/>
    </row>
    <row r="65" customFormat="false" ht="15" hidden="false" customHeight="false" outlineLevel="0" collapsed="false">
      <c r="A65" s="3" t="s">
        <v>15</v>
      </c>
      <c r="B65" s="5" t="s">
        <v>36</v>
      </c>
      <c r="C65" s="5" t="s">
        <v>39</v>
      </c>
      <c r="D65" s="4" t="n">
        <v>3994</v>
      </c>
      <c r="E65" s="11" t="n">
        <f aca="false">IF(A65=A64,(D65-D64)/D64,"—")</f>
        <v>0.0684858212948101</v>
      </c>
      <c r="F65" s="11" t="n">
        <f aca="false">IF(A65=A61,(D65-D61)/D61,"—")</f>
        <v>0.141468991140326</v>
      </c>
      <c r="G65" s="5" t="s">
        <v>34</v>
      </c>
      <c r="H65" s="5"/>
    </row>
    <row r="66" customFormat="false" ht="15" hidden="false" customHeight="false" outlineLevel="0" collapsed="false">
      <c r="A66" s="6" t="s">
        <v>15</v>
      </c>
      <c r="B66" s="8" t="s">
        <v>38</v>
      </c>
      <c r="C66" s="8" t="s">
        <v>7</v>
      </c>
      <c r="D66" s="7" t="n">
        <v>4124</v>
      </c>
      <c r="E66" s="12" t="n">
        <f aca="false">IF(A66=A65,(D66-D65)/D65,"—")</f>
        <v>0.0325488232348523</v>
      </c>
      <c r="F66" s="12" t="n">
        <f aca="false">IF(A66=A62,(D66-D62)/D62,"—")</f>
        <v>0.182339449541284</v>
      </c>
      <c r="G66" s="8" t="s">
        <v>37</v>
      </c>
      <c r="H66" s="8" t="s">
        <v>40</v>
      </c>
    </row>
    <row r="67" customFormat="false" ht="15" hidden="false" customHeight="false" outlineLevel="0" collapsed="false">
      <c r="A67" s="3" t="s">
        <v>17</v>
      </c>
      <c r="B67" s="5" t="s">
        <v>32</v>
      </c>
      <c r="C67" s="5" t="s">
        <v>4</v>
      </c>
      <c r="D67" s="4" t="n">
        <v>14970</v>
      </c>
      <c r="E67" s="11" t="str">
        <f aca="false">IF(A67=A66,(D67-D66)/D66,"—")</f>
        <v>—</v>
      </c>
      <c r="F67" s="11" t="str">
        <f aca="false">IF(A67=A63,(D67-D63)/D63,"—")</f>
        <v>—</v>
      </c>
      <c r="G67" s="5" t="s">
        <v>34</v>
      </c>
      <c r="H67" s="5"/>
    </row>
    <row r="68" customFormat="false" ht="15" hidden="false" customHeight="false" outlineLevel="0" collapsed="false">
      <c r="A68" s="6" t="s">
        <v>17</v>
      </c>
      <c r="B68" s="8" t="s">
        <v>35</v>
      </c>
      <c r="C68" s="8" t="s">
        <v>4</v>
      </c>
      <c r="D68" s="7" t="n">
        <v>15050</v>
      </c>
      <c r="E68" s="12" t="n">
        <f aca="false">IF(A68=A67,(D68-D67)/D67,"—")</f>
        <v>0.00534402137608551</v>
      </c>
      <c r="F68" s="12" t="str">
        <f aca="false">IF(A68=A64,(D68-D64)/D64,"—")</f>
        <v>—</v>
      </c>
      <c r="G68" s="8" t="s">
        <v>34</v>
      </c>
      <c r="H68" s="8"/>
    </row>
    <row r="69" customFormat="false" ht="15" hidden="false" customHeight="false" outlineLevel="0" collapsed="false">
      <c r="A69" s="3" t="s">
        <v>17</v>
      </c>
      <c r="B69" s="5" t="s">
        <v>36</v>
      </c>
      <c r="C69" s="5" t="s">
        <v>4</v>
      </c>
      <c r="D69" s="4" t="n">
        <v>15570</v>
      </c>
      <c r="E69" s="11" t="n">
        <f aca="false">IF(A69=A68,(D69-D68)/D68,"—")</f>
        <v>0.0345514950166113</v>
      </c>
      <c r="F69" s="11" t="str">
        <f aca="false">IF(A69=A65,(D69-D65)/D65,"—")</f>
        <v>—</v>
      </c>
      <c r="G69" s="5" t="s">
        <v>37</v>
      </c>
      <c r="H69" s="5"/>
    </row>
    <row r="70" customFormat="false" ht="15" hidden="false" customHeight="false" outlineLevel="0" collapsed="false">
      <c r="A70" s="6" t="s">
        <v>17</v>
      </c>
      <c r="B70" s="8" t="s">
        <v>38</v>
      </c>
      <c r="C70" s="8" t="s">
        <v>4</v>
      </c>
      <c r="D70" s="7" t="n">
        <v>16004</v>
      </c>
      <c r="E70" s="12" t="n">
        <f aca="false">IF(A70=A69,(D70-D69)/D69,"—")</f>
        <v>0.0278741168914579</v>
      </c>
      <c r="F70" s="12" t="str">
        <f aca="false">IF(A70=A66,(D70-D66)/D66,"—")</f>
        <v>—</v>
      </c>
      <c r="G70" s="8" t="s">
        <v>34</v>
      </c>
      <c r="H70" s="8"/>
    </row>
    <row r="71" customFormat="false" ht="15" hidden="false" customHeight="false" outlineLevel="0" collapsed="false">
      <c r="A71" s="3" t="s">
        <v>17</v>
      </c>
      <c r="B71" s="5" t="s">
        <v>32</v>
      </c>
      <c r="C71" s="5" t="s">
        <v>5</v>
      </c>
      <c r="D71" s="4" t="n">
        <v>15741</v>
      </c>
      <c r="E71" s="11" t="n">
        <f aca="false">IF(A71=A70,(D71-D70)/D70,"—")</f>
        <v>-0.016433391652087</v>
      </c>
      <c r="F71" s="11" t="n">
        <f aca="false">IF(A71=A67,(D71-D67)/D67,"—")</f>
        <v>0.051503006012024</v>
      </c>
      <c r="G71" s="5" t="s">
        <v>37</v>
      </c>
      <c r="H71" s="5"/>
    </row>
    <row r="72" customFormat="false" ht="15" hidden="false" customHeight="false" outlineLevel="0" collapsed="false">
      <c r="A72" s="6" t="s">
        <v>17</v>
      </c>
      <c r="B72" s="8" t="s">
        <v>35</v>
      </c>
      <c r="C72" s="8" t="s">
        <v>5</v>
      </c>
      <c r="D72" s="7" t="n">
        <v>15812</v>
      </c>
      <c r="E72" s="12" t="n">
        <f aca="false">IF(A72=A71,(D72-D71)/D71,"—")</f>
        <v>0.00451051394447621</v>
      </c>
      <c r="F72" s="12" t="n">
        <f aca="false">IF(A72=A68,(D72-D68)/D68,"—")</f>
        <v>0.0506312292358804</v>
      </c>
      <c r="G72" s="8" t="s">
        <v>34</v>
      </c>
      <c r="H72" s="8"/>
    </row>
    <row r="73" customFormat="false" ht="15" hidden="false" customHeight="false" outlineLevel="0" collapsed="false">
      <c r="A73" s="3" t="s">
        <v>17</v>
      </c>
      <c r="B73" s="5" t="s">
        <v>36</v>
      </c>
      <c r="C73" s="5" t="s">
        <v>5</v>
      </c>
      <c r="D73" s="4" t="n">
        <v>16597</v>
      </c>
      <c r="E73" s="11" t="n">
        <f aca="false">IF(A73=A72,(D73-D72)/D72,"—")</f>
        <v>0.0496458386035922</v>
      </c>
      <c r="F73" s="11" t="n">
        <f aca="false">IF(A73=A69,(D73-D69)/D69,"—")</f>
        <v>0.0659601798330122</v>
      </c>
      <c r="G73" s="5" t="s">
        <v>34</v>
      </c>
      <c r="H73" s="5"/>
    </row>
    <row r="74" customFormat="false" ht="15" hidden="false" customHeight="false" outlineLevel="0" collapsed="false">
      <c r="A74" s="6" t="s">
        <v>17</v>
      </c>
      <c r="B74" s="8" t="s">
        <v>38</v>
      </c>
      <c r="C74" s="8" t="s">
        <v>5</v>
      </c>
      <c r="D74" s="7" t="n">
        <v>15961</v>
      </c>
      <c r="E74" s="12" t="n">
        <f aca="false">IF(A74=A73,(D74-D73)/D73,"—")</f>
        <v>-0.0383201783454841</v>
      </c>
      <c r="F74" s="12" t="n">
        <f aca="false">IF(A74=A70,(D74-D70)/D70,"—")</f>
        <v>-0.00268682829292677</v>
      </c>
      <c r="G74" s="8" t="s">
        <v>37</v>
      </c>
      <c r="H74" s="8"/>
    </row>
    <row r="75" customFormat="false" ht="15" hidden="false" customHeight="false" outlineLevel="0" collapsed="false">
      <c r="A75" s="3" t="s">
        <v>17</v>
      </c>
      <c r="B75" s="5" t="s">
        <v>32</v>
      </c>
      <c r="C75" s="5" t="s">
        <v>6</v>
      </c>
      <c r="D75" s="4" t="n">
        <v>16224</v>
      </c>
      <c r="E75" s="11" t="n">
        <f aca="false">IF(A75=A74,(D75-D74)/D74,"—")</f>
        <v>0.0164776643067477</v>
      </c>
      <c r="F75" s="11" t="n">
        <f aca="false">IF(A75=A71,(D75-D71)/D71,"—")</f>
        <v>0.0306842004955213</v>
      </c>
      <c r="G75" s="5" t="s">
        <v>34</v>
      </c>
      <c r="H75" s="5"/>
    </row>
    <row r="76" customFormat="false" ht="15" hidden="false" customHeight="false" outlineLevel="0" collapsed="false">
      <c r="A76" s="6" t="s">
        <v>17</v>
      </c>
      <c r="B76" s="8" t="s">
        <v>35</v>
      </c>
      <c r="C76" s="8" t="s">
        <v>6</v>
      </c>
      <c r="D76" s="7" t="n">
        <v>16455</v>
      </c>
      <c r="E76" s="12" t="n">
        <f aca="false">IF(A76=A75,(D76-D75)/D75,"—")</f>
        <v>0.0142381656804734</v>
      </c>
      <c r="F76" s="12" t="n">
        <f aca="false">IF(A76=A72,(D76-D72)/D72,"—")</f>
        <v>0.0406653174803946</v>
      </c>
      <c r="G76" s="8" t="s">
        <v>34</v>
      </c>
      <c r="H76" s="8"/>
    </row>
    <row r="77" customFormat="false" ht="15" hidden="false" customHeight="false" outlineLevel="0" collapsed="false">
      <c r="A77" s="3" t="s">
        <v>17</v>
      </c>
      <c r="B77" s="5" t="s">
        <v>36</v>
      </c>
      <c r="C77" s="5" t="s">
        <v>6</v>
      </c>
      <c r="D77" s="4" t="n">
        <v>16470</v>
      </c>
      <c r="E77" s="11" t="n">
        <f aca="false">IF(A77=A76,(D77-D76)/D76,"—")</f>
        <v>0.000911577028258888</v>
      </c>
      <c r="F77" s="11" t="n">
        <f aca="false">IF(A77=A73,(D77-D73)/D73,"—")</f>
        <v>-0.00765198529854793</v>
      </c>
      <c r="G77" s="5" t="s">
        <v>37</v>
      </c>
      <c r="H77" s="5"/>
    </row>
    <row r="78" customFormat="false" ht="15" hidden="false" customHeight="false" outlineLevel="0" collapsed="false">
      <c r="A78" s="6" t="s">
        <v>17</v>
      </c>
      <c r="B78" s="8" t="s">
        <v>38</v>
      </c>
      <c r="C78" s="8" t="s">
        <v>6</v>
      </c>
      <c r="D78" s="7" t="n">
        <v>16434</v>
      </c>
      <c r="E78" s="12" t="n">
        <f aca="false">IF(A78=A77,(D78-D77)/D77,"—")</f>
        <v>-0.00218579234972678</v>
      </c>
      <c r="F78" s="12" t="n">
        <f aca="false">IF(A78=A74,(D78-D74)/D74,"—")</f>
        <v>0.0296347346657478</v>
      </c>
      <c r="G78" s="8" t="s">
        <v>34</v>
      </c>
      <c r="H78" s="8"/>
    </row>
    <row r="79" customFormat="false" ht="15" hidden="false" customHeight="false" outlineLevel="0" collapsed="false">
      <c r="A79" s="3" t="s">
        <v>17</v>
      </c>
      <c r="B79" s="5" t="s">
        <v>32</v>
      </c>
      <c r="C79" s="5" t="s">
        <v>39</v>
      </c>
      <c r="D79" s="4" t="n">
        <v>16658</v>
      </c>
      <c r="E79" s="11" t="n">
        <f aca="false">IF(A79=A78,(D79-D78)/D78,"—")</f>
        <v>0.0136302786905197</v>
      </c>
      <c r="F79" s="11" t="n">
        <f aca="false">IF(A79=A75,(D79-D75)/D75,"—")</f>
        <v>0.0267504930966469</v>
      </c>
      <c r="G79" s="5" t="s">
        <v>37</v>
      </c>
      <c r="H79" s="5"/>
    </row>
    <row r="80" customFormat="false" ht="15" hidden="false" customHeight="false" outlineLevel="0" collapsed="false">
      <c r="A80" s="6" t="s">
        <v>17</v>
      </c>
      <c r="B80" s="8" t="s">
        <v>35</v>
      </c>
      <c r="C80" s="8" t="s">
        <v>39</v>
      </c>
      <c r="D80" s="7" t="n">
        <v>16663</v>
      </c>
      <c r="E80" s="12" t="n">
        <f aca="false">IF(A80=A79,(D80-D79)/D79,"—")</f>
        <v>0.000300156081162204</v>
      </c>
      <c r="F80" s="12" t="n">
        <f aca="false">IF(A80=A76,(D80-D76)/D76,"—")</f>
        <v>0.0126405347918566</v>
      </c>
      <c r="G80" s="8" t="s">
        <v>34</v>
      </c>
      <c r="H80" s="8"/>
    </row>
    <row r="81" customFormat="false" ht="15" hidden="false" customHeight="false" outlineLevel="0" collapsed="false">
      <c r="A81" s="3" t="s">
        <v>17</v>
      </c>
      <c r="B81" s="5" t="s">
        <v>36</v>
      </c>
      <c r="C81" s="5" t="s">
        <v>39</v>
      </c>
      <c r="D81" s="4" t="n">
        <v>16650</v>
      </c>
      <c r="E81" s="11" t="n">
        <f aca="false">IF(A81=A80,(D81-D80)/D80,"—")</f>
        <v>-0.000780171637760307</v>
      </c>
      <c r="F81" s="11" t="n">
        <f aca="false">IF(A81=A77,(D81-D77)/D77,"—")</f>
        <v>0.0109289617486339</v>
      </c>
      <c r="G81" s="5" t="s">
        <v>34</v>
      </c>
      <c r="H81" s="5"/>
    </row>
    <row r="82" customFormat="false" ht="15" hidden="false" customHeight="false" outlineLevel="0" collapsed="false">
      <c r="A82" s="6" t="s">
        <v>17</v>
      </c>
      <c r="B82" s="8" t="s">
        <v>38</v>
      </c>
      <c r="C82" s="8" t="s">
        <v>7</v>
      </c>
      <c r="D82" s="7" t="n">
        <v>17229</v>
      </c>
      <c r="E82" s="12" t="n">
        <f aca="false">IF(A82=A81,(D82-D81)/D81,"—")</f>
        <v>0.0347747747747748</v>
      </c>
      <c r="F82" s="12" t="n">
        <f aca="false">IF(A82=A78,(D82-D78)/D78,"—")</f>
        <v>0.0483753194596568</v>
      </c>
      <c r="G82" s="8" t="s">
        <v>37</v>
      </c>
      <c r="H82" s="8" t="s">
        <v>40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50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1</v>
      </c>
      <c r="B2" s="2" t="s">
        <v>42</v>
      </c>
      <c r="C2" s="2" t="s">
        <v>28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8</v>
      </c>
    </row>
    <row r="3" customFormat="false" ht="15" hidden="false" customHeight="false" outlineLevel="0" collapsed="false">
      <c r="A3" s="3" t="s">
        <v>9</v>
      </c>
      <c r="B3" s="5" t="s">
        <v>2</v>
      </c>
      <c r="C3" s="4" t="n">
        <v>22173</v>
      </c>
      <c r="D3" s="4" t="n">
        <v>9763</v>
      </c>
      <c r="E3" s="4" t="n">
        <v>5933</v>
      </c>
      <c r="F3" s="4" t="n">
        <v>4188</v>
      </c>
      <c r="G3" s="11" t="n">
        <v>0.44</v>
      </c>
      <c r="H3" s="11" t="n">
        <v>0.268</v>
      </c>
      <c r="I3" s="11" t="n">
        <v>0.189</v>
      </c>
      <c r="J3" s="13" t="n">
        <v>1.14</v>
      </c>
      <c r="K3" s="5"/>
    </row>
    <row r="4" customFormat="false" ht="15" hidden="false" customHeight="false" outlineLevel="0" collapsed="false">
      <c r="A4" s="6" t="s">
        <v>9</v>
      </c>
      <c r="B4" s="8" t="s">
        <v>3</v>
      </c>
      <c r="C4" s="7" t="n">
        <v>25706</v>
      </c>
      <c r="D4" s="7" t="n">
        <v>11586</v>
      </c>
      <c r="E4" s="7" t="n">
        <v>7046</v>
      </c>
      <c r="F4" s="7" t="n">
        <v>4890</v>
      </c>
      <c r="G4" s="12" t="n">
        <v>0.451</v>
      </c>
      <c r="H4" s="12" t="n">
        <v>0.274</v>
      </c>
      <c r="I4" s="12" t="n">
        <v>0.19</v>
      </c>
      <c r="J4" s="14" t="n">
        <v>1.32</v>
      </c>
      <c r="K4" s="8"/>
    </row>
    <row r="5" customFormat="false" ht="15" hidden="false" customHeight="false" outlineLevel="0" collapsed="false">
      <c r="A5" s="3" t="s">
        <v>9</v>
      </c>
      <c r="B5" s="5" t="s">
        <v>4</v>
      </c>
      <c r="C5" s="4" t="n">
        <v>27929</v>
      </c>
      <c r="D5" s="4" t="n">
        <v>12887</v>
      </c>
      <c r="E5" s="4" t="n">
        <v>7502</v>
      </c>
      <c r="F5" s="4" t="n">
        <v>5379</v>
      </c>
      <c r="G5" s="11" t="n">
        <v>0.461</v>
      </c>
      <c r="H5" s="11" t="n">
        <v>0.269</v>
      </c>
      <c r="I5" s="11" t="n">
        <v>0.193</v>
      </c>
      <c r="J5" s="13" t="n">
        <v>1.46</v>
      </c>
      <c r="K5" s="5"/>
    </row>
    <row r="6" customFormat="false" ht="15" hidden="false" customHeight="false" outlineLevel="0" collapsed="false">
      <c r="A6" s="6" t="s">
        <v>9</v>
      </c>
      <c r="B6" s="8" t="s">
        <v>5</v>
      </c>
      <c r="C6" s="7" t="n">
        <v>29083</v>
      </c>
      <c r="D6" s="7" t="n">
        <v>13351</v>
      </c>
      <c r="E6" s="7" t="n">
        <v>7877</v>
      </c>
      <c r="F6" s="7" t="n">
        <v>5633</v>
      </c>
      <c r="G6" s="12" t="n">
        <v>0.459</v>
      </c>
      <c r="H6" s="12" t="n">
        <v>0.271</v>
      </c>
      <c r="I6" s="12" t="n">
        <v>0.194</v>
      </c>
      <c r="J6" s="14" t="n">
        <v>1.53</v>
      </c>
      <c r="K6" s="8"/>
    </row>
    <row r="7" customFormat="false" ht="15" hidden="false" customHeight="false" outlineLevel="0" collapsed="false">
      <c r="A7" s="3" t="s">
        <v>9</v>
      </c>
      <c r="B7" s="5" t="s">
        <v>6</v>
      </c>
      <c r="C7" s="4" t="n">
        <v>30175</v>
      </c>
      <c r="D7" s="4" t="n">
        <v>13746</v>
      </c>
      <c r="E7" s="4" t="n">
        <v>8139</v>
      </c>
      <c r="F7" s="4" t="n">
        <v>5866</v>
      </c>
      <c r="G7" s="11" t="n">
        <v>0.456</v>
      </c>
      <c r="H7" s="11" t="n">
        <v>0.27</v>
      </c>
      <c r="I7" s="11" t="n">
        <v>0.194</v>
      </c>
      <c r="J7" s="13" t="n">
        <v>1.59</v>
      </c>
      <c r="K7" s="5"/>
    </row>
    <row r="8" customFormat="false" ht="15" hidden="false" customHeight="false" outlineLevel="0" collapsed="false">
      <c r="A8" s="6" t="s">
        <v>9</v>
      </c>
      <c r="B8" s="8" t="s">
        <v>7</v>
      </c>
      <c r="C8" s="7" t="n">
        <v>31200</v>
      </c>
      <c r="D8" s="7" t="n">
        <v>14300</v>
      </c>
      <c r="E8" s="7" t="n">
        <v>8444</v>
      </c>
      <c r="F8" s="7" t="n">
        <v>6073</v>
      </c>
      <c r="G8" s="12" t="n">
        <v>0.458</v>
      </c>
      <c r="H8" s="12" t="n">
        <v>0.271</v>
      </c>
      <c r="I8" s="12" t="n">
        <v>0.195</v>
      </c>
      <c r="J8" s="14" t="n">
        <v>1.65</v>
      </c>
      <c r="K8" s="8" t="s">
        <v>50</v>
      </c>
    </row>
    <row r="9" customFormat="false" ht="15" hidden="false" customHeight="false" outlineLevel="0" collapsed="false">
      <c r="A9" s="3" t="s">
        <v>11</v>
      </c>
      <c r="B9" s="5" t="s">
        <v>2</v>
      </c>
      <c r="C9" s="4" t="n">
        <v>12780</v>
      </c>
      <c r="D9" s="4" t="n">
        <v>5562</v>
      </c>
      <c r="E9" s="4" t="n">
        <v>2738</v>
      </c>
      <c r="F9" s="4" t="n">
        <v>2064</v>
      </c>
      <c r="G9" s="11" t="n">
        <v>0.435</v>
      </c>
      <c r="H9" s="11" t="n">
        <v>0.214</v>
      </c>
      <c r="I9" s="11" t="n">
        <v>0.162</v>
      </c>
      <c r="J9" s="13" t="n">
        <v>0.49</v>
      </c>
      <c r="K9" s="5"/>
    </row>
    <row r="10" customFormat="false" ht="15" hidden="false" customHeight="false" outlineLevel="0" collapsed="false">
      <c r="A10" s="6" t="s">
        <v>11</v>
      </c>
      <c r="B10" s="8" t="s">
        <v>3</v>
      </c>
      <c r="C10" s="7" t="n">
        <v>14928</v>
      </c>
      <c r="D10" s="7" t="n">
        <v>6717</v>
      </c>
      <c r="E10" s="7" t="n">
        <v>3235</v>
      </c>
      <c r="F10" s="7" t="n">
        <v>2424</v>
      </c>
      <c r="G10" s="12" t="n">
        <v>0.45</v>
      </c>
      <c r="H10" s="12" t="n">
        <v>0.217</v>
      </c>
      <c r="I10" s="12" t="n">
        <v>0.162</v>
      </c>
      <c r="J10" s="14" t="n">
        <v>0.57</v>
      </c>
      <c r="K10" s="8"/>
    </row>
    <row r="11" customFormat="false" ht="15" hidden="false" customHeight="false" outlineLevel="0" collapsed="false">
      <c r="A11" s="3" t="s">
        <v>11</v>
      </c>
      <c r="B11" s="5" t="s">
        <v>4</v>
      </c>
      <c r="C11" s="4" t="n">
        <v>18212</v>
      </c>
      <c r="D11" s="4" t="n">
        <v>8410</v>
      </c>
      <c r="E11" s="4" t="n">
        <v>4145</v>
      </c>
      <c r="F11" s="4" t="n">
        <v>3022</v>
      </c>
      <c r="G11" s="11" t="n">
        <v>0.462</v>
      </c>
      <c r="H11" s="11" t="n">
        <v>0.228</v>
      </c>
      <c r="I11" s="11" t="n">
        <v>0.166</v>
      </c>
      <c r="J11" s="13" t="n">
        <v>0.72</v>
      </c>
      <c r="K11" s="5"/>
    </row>
    <row r="12" customFormat="false" ht="15" hidden="false" customHeight="false" outlineLevel="0" collapsed="false">
      <c r="A12" s="6" t="s">
        <v>11</v>
      </c>
      <c r="B12" s="8" t="s">
        <v>5</v>
      </c>
      <c r="C12" s="7" t="n">
        <v>18212</v>
      </c>
      <c r="D12" s="7" t="n">
        <v>8201</v>
      </c>
      <c r="E12" s="7" t="n">
        <v>4097</v>
      </c>
      <c r="F12" s="7" t="n">
        <v>2993</v>
      </c>
      <c r="G12" s="12" t="n">
        <v>0.45</v>
      </c>
      <c r="H12" s="12" t="n">
        <v>0.225</v>
      </c>
      <c r="I12" s="12" t="n">
        <v>0.164</v>
      </c>
      <c r="J12" s="14" t="n">
        <v>0.71</v>
      </c>
      <c r="K12" s="8" t="s">
        <v>51</v>
      </c>
    </row>
    <row r="13" customFormat="false" ht="15" hidden="false" customHeight="false" outlineLevel="0" collapsed="false">
      <c r="A13" s="3" t="s">
        <v>11</v>
      </c>
      <c r="B13" s="5" t="s">
        <v>6</v>
      </c>
      <c r="C13" s="4" t="n">
        <v>19573</v>
      </c>
      <c r="D13" s="4" t="n">
        <v>8827</v>
      </c>
      <c r="E13" s="4" t="n">
        <v>4494</v>
      </c>
      <c r="F13" s="4" t="n">
        <v>3269</v>
      </c>
      <c r="G13" s="11" t="n">
        <v>0.451</v>
      </c>
      <c r="H13" s="11" t="n">
        <v>0.23</v>
      </c>
      <c r="I13" s="11" t="n">
        <v>0.167</v>
      </c>
      <c r="J13" s="13" t="n">
        <v>0.78</v>
      </c>
      <c r="K13" s="5"/>
    </row>
    <row r="14" customFormat="false" ht="15" hidden="false" customHeight="false" outlineLevel="0" collapsed="false">
      <c r="A14" s="6" t="s">
        <v>11</v>
      </c>
      <c r="B14" s="8" t="s">
        <v>7</v>
      </c>
      <c r="C14" s="7" t="n">
        <v>21100</v>
      </c>
      <c r="D14" s="7" t="n">
        <v>9495</v>
      </c>
      <c r="E14" s="7" t="n">
        <v>4840</v>
      </c>
      <c r="F14" s="7" t="n">
        <v>3521</v>
      </c>
      <c r="G14" s="12" t="n">
        <v>0.45</v>
      </c>
      <c r="H14" s="12" t="n">
        <v>0.229</v>
      </c>
      <c r="I14" s="12" t="n">
        <v>0.167</v>
      </c>
      <c r="J14" s="14" t="n">
        <v>0.84</v>
      </c>
      <c r="K14" s="8" t="s">
        <v>50</v>
      </c>
    </row>
    <row r="15" customFormat="false" ht="15" hidden="false" customHeight="false" outlineLevel="0" collapsed="false">
      <c r="A15" s="3" t="s">
        <v>13</v>
      </c>
      <c r="B15" s="5" t="s">
        <v>2</v>
      </c>
      <c r="C15" s="4" t="n">
        <v>8133</v>
      </c>
      <c r="D15" s="4" t="n">
        <v>3497</v>
      </c>
      <c r="E15" s="4" t="n">
        <v>1449</v>
      </c>
      <c r="F15" s="4" t="n">
        <v>1085</v>
      </c>
      <c r="G15" s="11" t="n">
        <v>0.43</v>
      </c>
      <c r="H15" s="11" t="n">
        <v>0.178</v>
      </c>
      <c r="I15" s="11" t="n">
        <v>0.133</v>
      </c>
      <c r="J15" s="13" t="n">
        <v>0.2</v>
      </c>
      <c r="K15" s="5"/>
    </row>
    <row r="16" customFormat="false" ht="15" hidden="false" customHeight="false" outlineLevel="0" collapsed="false">
      <c r="A16" s="6" t="s">
        <v>13</v>
      </c>
      <c r="B16" s="8" t="s">
        <v>3</v>
      </c>
      <c r="C16" s="7" t="n">
        <v>9494</v>
      </c>
      <c r="D16" s="7" t="n">
        <v>4063</v>
      </c>
      <c r="E16" s="7" t="n">
        <v>1699</v>
      </c>
      <c r="F16" s="7" t="n">
        <v>1369</v>
      </c>
      <c r="G16" s="12" t="n">
        <v>0.428</v>
      </c>
      <c r="H16" s="12" t="n">
        <v>0.179</v>
      </c>
      <c r="I16" s="12" t="n">
        <v>0.144</v>
      </c>
      <c r="J16" s="14" t="n">
        <v>0.25</v>
      </c>
      <c r="K16" s="8"/>
    </row>
    <row r="17" customFormat="false" ht="15" hidden="false" customHeight="false" outlineLevel="0" collapsed="false">
      <c r="A17" s="3" t="s">
        <v>13</v>
      </c>
      <c r="B17" s="5" t="s">
        <v>4</v>
      </c>
      <c r="C17" s="4" t="n">
        <v>10396</v>
      </c>
      <c r="D17" s="4" t="n">
        <v>4594</v>
      </c>
      <c r="E17" s="4" t="n">
        <v>1892</v>
      </c>
      <c r="F17" s="4" t="n">
        <v>1469</v>
      </c>
      <c r="G17" s="11" t="n">
        <v>0.442</v>
      </c>
      <c r="H17" s="11" t="n">
        <v>0.182</v>
      </c>
      <c r="I17" s="11" t="n">
        <v>0.141</v>
      </c>
      <c r="J17" s="13" t="n">
        <v>0.27</v>
      </c>
      <c r="K17" s="5"/>
    </row>
    <row r="18" customFormat="false" ht="15" hidden="false" customHeight="false" outlineLevel="0" collapsed="false">
      <c r="A18" s="6" t="s">
        <v>13</v>
      </c>
      <c r="B18" s="8" t="s">
        <v>5</v>
      </c>
      <c r="C18" s="7" t="n">
        <v>11158</v>
      </c>
      <c r="D18" s="7" t="n">
        <v>4838</v>
      </c>
      <c r="E18" s="7" t="n">
        <v>2052</v>
      </c>
      <c r="F18" s="7" t="n">
        <v>1571</v>
      </c>
      <c r="G18" s="12" t="n">
        <v>0.434</v>
      </c>
      <c r="H18" s="12" t="n">
        <v>0.184</v>
      </c>
      <c r="I18" s="12" t="n">
        <v>0.141</v>
      </c>
      <c r="J18" s="14" t="n">
        <v>0.29</v>
      </c>
      <c r="K18" s="8"/>
    </row>
    <row r="19" customFormat="false" ht="15" hidden="false" customHeight="false" outlineLevel="0" collapsed="false">
      <c r="A19" s="3" t="s">
        <v>13</v>
      </c>
      <c r="B19" s="5" t="s">
        <v>6</v>
      </c>
      <c r="C19" s="4" t="n">
        <v>10845</v>
      </c>
      <c r="D19" s="4" t="n">
        <v>4662</v>
      </c>
      <c r="E19" s="4" t="n">
        <v>1843</v>
      </c>
      <c r="F19" s="4" t="n">
        <v>1427</v>
      </c>
      <c r="G19" s="11" t="n">
        <v>0.43</v>
      </c>
      <c r="H19" s="11" t="n">
        <v>0.17</v>
      </c>
      <c r="I19" s="11" t="n">
        <v>0.132</v>
      </c>
      <c r="J19" s="13" t="n">
        <v>0.27</v>
      </c>
      <c r="K19" s="5" t="s">
        <v>52</v>
      </c>
    </row>
    <row r="20" customFormat="false" ht="15" hidden="false" customHeight="false" outlineLevel="0" collapsed="false">
      <c r="A20" s="6" t="s">
        <v>13</v>
      </c>
      <c r="B20" s="8" t="s">
        <v>7</v>
      </c>
      <c r="C20" s="7" t="n">
        <v>11200</v>
      </c>
      <c r="D20" s="7" t="n">
        <v>4816</v>
      </c>
      <c r="E20" s="7" t="n">
        <v>1904</v>
      </c>
      <c r="F20" s="7" t="n">
        <v>1478</v>
      </c>
      <c r="G20" s="12" t="n">
        <v>0.43</v>
      </c>
      <c r="H20" s="12" t="n">
        <v>0.17</v>
      </c>
      <c r="I20" s="12" t="n">
        <v>0.132</v>
      </c>
      <c r="J20" s="14" t="n">
        <v>0.28</v>
      </c>
      <c r="K20" s="8" t="s">
        <v>50</v>
      </c>
    </row>
    <row r="21" customFormat="false" ht="15" hidden="false" customHeight="false" outlineLevel="0" collapsed="false">
      <c r="A21" s="3" t="s">
        <v>15</v>
      </c>
      <c r="B21" s="5" t="s">
        <v>2</v>
      </c>
      <c r="C21" s="4" t="n">
        <v>9627</v>
      </c>
      <c r="D21" s="4" t="n">
        <v>4429</v>
      </c>
      <c r="E21" s="4" t="n">
        <v>1714</v>
      </c>
      <c r="F21" s="4" t="n">
        <v>1274</v>
      </c>
      <c r="G21" s="11" t="n">
        <v>0.46</v>
      </c>
      <c r="H21" s="11" t="n">
        <v>0.178</v>
      </c>
      <c r="I21" s="11" t="n">
        <v>0.132</v>
      </c>
      <c r="J21" s="13" t="n">
        <v>0.47</v>
      </c>
      <c r="K21" s="5"/>
    </row>
    <row r="22" customFormat="false" ht="15" hidden="false" customHeight="false" outlineLevel="0" collapsed="false">
      <c r="A22" s="6" t="s">
        <v>15</v>
      </c>
      <c r="B22" s="8" t="s">
        <v>3</v>
      </c>
      <c r="C22" s="7" t="n">
        <v>10173</v>
      </c>
      <c r="D22" s="7" t="n">
        <v>4679</v>
      </c>
      <c r="E22" s="7" t="n">
        <v>1834</v>
      </c>
      <c r="F22" s="7" t="n">
        <v>1479</v>
      </c>
      <c r="G22" s="12" t="n">
        <v>0.46</v>
      </c>
      <c r="H22" s="12" t="n">
        <v>0.18</v>
      </c>
      <c r="I22" s="12" t="n">
        <v>0.145</v>
      </c>
      <c r="J22" s="14" t="n">
        <v>0.54</v>
      </c>
      <c r="K22" s="8"/>
    </row>
    <row r="23" customFormat="false" ht="15" hidden="false" customHeight="false" outlineLevel="0" collapsed="false">
      <c r="A23" s="3" t="s">
        <v>15</v>
      </c>
      <c r="B23" s="5" t="s">
        <v>4</v>
      </c>
      <c r="C23" s="4" t="n">
        <v>11777</v>
      </c>
      <c r="D23" s="4" t="n">
        <v>5564</v>
      </c>
      <c r="E23" s="4" t="n">
        <v>2122</v>
      </c>
      <c r="F23" s="4" t="n">
        <v>1619</v>
      </c>
      <c r="G23" s="11" t="n">
        <v>0.472</v>
      </c>
      <c r="H23" s="11" t="n">
        <v>0.18</v>
      </c>
      <c r="I23" s="11" t="n">
        <v>0.137</v>
      </c>
      <c r="J23" s="13" t="n">
        <v>0.6</v>
      </c>
      <c r="K23" s="5"/>
    </row>
    <row r="24" customFormat="false" ht="15" hidden="false" customHeight="false" outlineLevel="0" collapsed="false">
      <c r="A24" s="6" t="s">
        <v>15</v>
      </c>
      <c r="B24" s="8" t="s">
        <v>5</v>
      </c>
      <c r="C24" s="7" t="n">
        <v>13299</v>
      </c>
      <c r="D24" s="7" t="n">
        <v>6184</v>
      </c>
      <c r="E24" s="7" t="n">
        <v>2558</v>
      </c>
      <c r="F24" s="7" t="n">
        <v>1986</v>
      </c>
      <c r="G24" s="12" t="n">
        <v>0.465</v>
      </c>
      <c r="H24" s="12" t="n">
        <v>0.192</v>
      </c>
      <c r="I24" s="12" t="n">
        <v>0.149</v>
      </c>
      <c r="J24" s="14" t="n">
        <v>0.73</v>
      </c>
      <c r="K24" s="8"/>
    </row>
    <row r="25" customFormat="false" ht="15" hidden="false" customHeight="false" outlineLevel="0" collapsed="false">
      <c r="A25" s="3" t="s">
        <v>15</v>
      </c>
      <c r="B25" s="5" t="s">
        <v>6</v>
      </c>
      <c r="C25" s="4" t="n">
        <v>14251</v>
      </c>
      <c r="D25" s="4" t="n">
        <v>6769</v>
      </c>
      <c r="E25" s="4" t="n">
        <v>2736</v>
      </c>
      <c r="F25" s="4" t="n">
        <v>2100</v>
      </c>
      <c r="G25" s="11" t="n">
        <v>0.475</v>
      </c>
      <c r="H25" s="11" t="n">
        <v>0.192</v>
      </c>
      <c r="I25" s="11" t="n">
        <v>0.147</v>
      </c>
      <c r="J25" s="13" t="n">
        <v>0.77</v>
      </c>
      <c r="K25" s="5"/>
    </row>
    <row r="26" customFormat="false" ht="15" hidden="false" customHeight="false" outlineLevel="0" collapsed="false">
      <c r="A26" s="6" t="s">
        <v>15</v>
      </c>
      <c r="B26" s="8" t="s">
        <v>7</v>
      </c>
      <c r="C26" s="7" t="n">
        <v>15400</v>
      </c>
      <c r="D26" s="7" t="n">
        <v>7315</v>
      </c>
      <c r="E26" s="7" t="n">
        <v>2957</v>
      </c>
      <c r="F26" s="7" t="n">
        <v>2268</v>
      </c>
      <c r="G26" s="12" t="n">
        <v>0.475</v>
      </c>
      <c r="H26" s="12" t="n">
        <v>0.192</v>
      </c>
      <c r="I26" s="12" t="n">
        <v>0.147</v>
      </c>
      <c r="J26" s="14" t="n">
        <v>0.83</v>
      </c>
      <c r="K26" s="8" t="s">
        <v>50</v>
      </c>
    </row>
    <row r="27" customFormat="false" ht="15" hidden="false" customHeight="false" outlineLevel="0" collapsed="false">
      <c r="A27" s="3" t="s">
        <v>17</v>
      </c>
      <c r="B27" s="5" t="s">
        <v>2</v>
      </c>
      <c r="C27" s="4" t="n">
        <v>44327</v>
      </c>
      <c r="D27" s="4" t="n">
        <v>14628</v>
      </c>
      <c r="E27" s="4" t="n">
        <v>6693</v>
      </c>
      <c r="F27" s="4" t="n">
        <v>5108</v>
      </c>
      <c r="G27" s="11" t="n">
        <v>0.33</v>
      </c>
      <c r="H27" s="11" t="n">
        <v>0.151</v>
      </c>
      <c r="I27" s="11" t="n">
        <v>0.115</v>
      </c>
      <c r="J27" s="13" t="n">
        <v>8</v>
      </c>
      <c r="K27" s="5" t="s">
        <v>53</v>
      </c>
    </row>
    <row r="28" customFormat="false" ht="15" hidden="false" customHeight="false" outlineLevel="0" collapsed="false">
      <c r="A28" s="6" t="s">
        <v>17</v>
      </c>
      <c r="B28" s="8" t="s">
        <v>3</v>
      </c>
      <c r="C28" s="7" t="n">
        <v>50533</v>
      </c>
      <c r="D28" s="7" t="n">
        <v>17186</v>
      </c>
      <c r="E28" s="7" t="n">
        <v>7984</v>
      </c>
      <c r="F28" s="7" t="n">
        <v>5906</v>
      </c>
      <c r="G28" s="12" t="n">
        <v>0.34</v>
      </c>
      <c r="H28" s="12" t="n">
        <v>0.158</v>
      </c>
      <c r="I28" s="12" t="n">
        <v>0.117</v>
      </c>
      <c r="J28" s="14" t="n">
        <v>9.16</v>
      </c>
      <c r="K28" s="8"/>
    </row>
    <row r="29" customFormat="false" ht="15" hidden="false" customHeight="false" outlineLevel="0" collapsed="false">
      <c r="A29" s="3" t="s">
        <v>17</v>
      </c>
      <c r="B29" s="5" t="s">
        <v>4</v>
      </c>
      <c r="C29" s="4" t="n">
        <v>61594</v>
      </c>
      <c r="D29" s="4" t="n">
        <v>20948</v>
      </c>
      <c r="E29" s="4" t="n">
        <v>9498</v>
      </c>
      <c r="F29" s="4" t="n">
        <v>6877</v>
      </c>
      <c r="G29" s="11" t="n">
        <v>0.34</v>
      </c>
      <c r="H29" s="11" t="n">
        <v>0.154</v>
      </c>
      <c r="I29" s="11" t="n">
        <v>0.112</v>
      </c>
      <c r="J29" s="13" t="n">
        <v>10.71</v>
      </c>
      <c r="K29" s="5"/>
    </row>
    <row r="30" customFormat="false" ht="15" hidden="false" customHeight="false" outlineLevel="0" collapsed="false">
      <c r="A30" s="6" t="s">
        <v>17</v>
      </c>
      <c r="B30" s="8" t="s">
        <v>5</v>
      </c>
      <c r="C30" s="7" t="n">
        <v>64111</v>
      </c>
      <c r="D30" s="7" t="n">
        <v>21796</v>
      </c>
      <c r="E30" s="7" t="n">
        <v>9937</v>
      </c>
      <c r="F30" s="7" t="n">
        <v>7153</v>
      </c>
      <c r="G30" s="12" t="n">
        <v>0.34</v>
      </c>
      <c r="H30" s="12" t="n">
        <v>0.155</v>
      </c>
      <c r="I30" s="12" t="n">
        <v>0.112</v>
      </c>
      <c r="J30" s="14" t="n">
        <v>11.28</v>
      </c>
      <c r="K30" s="8"/>
    </row>
    <row r="31" customFormat="false" ht="15" hidden="false" customHeight="false" outlineLevel="0" collapsed="false">
      <c r="A31" s="3" t="s">
        <v>17</v>
      </c>
      <c r="B31" s="5" t="s">
        <v>6</v>
      </c>
      <c r="C31" s="4" t="n">
        <v>64895</v>
      </c>
      <c r="D31" s="4" t="n">
        <v>22076</v>
      </c>
      <c r="E31" s="4" t="n">
        <v>10052</v>
      </c>
      <c r="F31" s="4" t="n">
        <v>7264</v>
      </c>
      <c r="G31" s="11" t="n">
        <v>0.34</v>
      </c>
      <c r="H31" s="11" t="n">
        <v>0.155</v>
      </c>
      <c r="I31" s="11" t="n">
        <v>0.112</v>
      </c>
      <c r="J31" s="13" t="n">
        <v>11.58</v>
      </c>
      <c r="K31" s="5"/>
    </row>
    <row r="32" customFormat="false" ht="15" hidden="false" customHeight="false" outlineLevel="0" collapsed="false">
      <c r="A32" s="6" t="s">
        <v>17</v>
      </c>
      <c r="B32" s="8" t="s">
        <v>7</v>
      </c>
      <c r="C32" s="7" t="n">
        <v>67200</v>
      </c>
      <c r="D32" s="7" t="n">
        <v>22848</v>
      </c>
      <c r="E32" s="7" t="n">
        <v>10416</v>
      </c>
      <c r="F32" s="7" t="n">
        <v>7526</v>
      </c>
      <c r="G32" s="12" t="n">
        <v>0.34</v>
      </c>
      <c r="H32" s="12" t="n">
        <v>0.155</v>
      </c>
      <c r="I32" s="12" t="n">
        <v>0.112</v>
      </c>
      <c r="J32" s="14" t="n">
        <v>12</v>
      </c>
      <c r="K32" s="8" t="s">
        <v>50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3F5E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 t="s">
        <v>42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8</v>
      </c>
    </row>
    <row r="3" customFormat="false" ht="15" hidden="false" customHeight="false" outlineLevel="0" collapsed="false">
      <c r="A3" s="3" t="s">
        <v>9</v>
      </c>
      <c r="B3" s="5" t="s">
        <v>2</v>
      </c>
      <c r="C3" s="4" t="n">
        <v>448464</v>
      </c>
      <c r="D3" s="15" t="n">
        <v>-1121</v>
      </c>
      <c r="E3" s="11" t="n">
        <v>0.11</v>
      </c>
      <c r="F3" s="4" t="n">
        <v>25000</v>
      </c>
      <c r="G3" s="4" t="n">
        <v>10000</v>
      </c>
      <c r="H3" s="16" t="n">
        <v>49.5</v>
      </c>
      <c r="I3" s="11" t="n">
        <v>0.85</v>
      </c>
      <c r="J3" s="5"/>
    </row>
    <row r="4" customFormat="false" ht="15" hidden="false" customHeight="false" outlineLevel="0" collapsed="false">
      <c r="A4" s="6" t="s">
        <v>9</v>
      </c>
      <c r="B4" s="8" t="s">
        <v>3</v>
      </c>
      <c r="C4" s="7" t="n">
        <v>488649</v>
      </c>
      <c r="D4" s="17" t="n">
        <v>40185</v>
      </c>
      <c r="E4" s="12" t="n">
        <v>0.141</v>
      </c>
      <c r="F4" s="7" t="n">
        <v>40000</v>
      </c>
      <c r="G4" s="7" t="n">
        <v>20000</v>
      </c>
      <c r="H4" s="18" t="n">
        <v>52.6</v>
      </c>
      <c r="I4" s="12" t="n">
        <v>0.862</v>
      </c>
      <c r="J4" s="8"/>
    </row>
    <row r="5" customFormat="false" ht="15" hidden="false" customHeight="false" outlineLevel="0" collapsed="false">
      <c r="A5" s="3" t="s">
        <v>9</v>
      </c>
      <c r="B5" s="5" t="s">
        <v>4</v>
      </c>
      <c r="C5" s="4" t="n">
        <v>592195</v>
      </c>
      <c r="D5" s="15" t="n">
        <v>103546</v>
      </c>
      <c r="E5" s="11" t="n">
        <v>0.174</v>
      </c>
      <c r="F5" s="4" t="n">
        <v>110000</v>
      </c>
      <c r="G5" s="4" t="n">
        <v>50000</v>
      </c>
      <c r="H5" s="16" t="n">
        <v>47.2</v>
      </c>
      <c r="I5" s="11" t="n">
        <v>0.875</v>
      </c>
      <c r="J5" s="5" t="s">
        <v>62</v>
      </c>
    </row>
    <row r="6" customFormat="false" ht="15" hidden="false" customHeight="false" outlineLevel="0" collapsed="false">
      <c r="A6" s="6" t="s">
        <v>9</v>
      </c>
      <c r="B6" s="8" t="s">
        <v>5</v>
      </c>
      <c r="C6" s="7" t="n">
        <v>614795</v>
      </c>
      <c r="D6" s="17" t="n">
        <v>22600</v>
      </c>
      <c r="E6" s="12" t="n">
        <v>0.201</v>
      </c>
      <c r="F6" s="7" t="n">
        <v>70000</v>
      </c>
      <c r="G6" s="7" t="n">
        <v>35000</v>
      </c>
      <c r="H6" s="18" t="n">
        <v>47.3</v>
      </c>
      <c r="I6" s="12" t="n">
        <v>0.832</v>
      </c>
      <c r="J6" s="8" t="s">
        <v>63</v>
      </c>
    </row>
    <row r="7" customFormat="false" ht="15" hidden="false" customHeight="false" outlineLevel="0" collapsed="false">
      <c r="A7" s="3" t="s">
        <v>9</v>
      </c>
      <c r="B7" s="5" t="s">
        <v>6</v>
      </c>
      <c r="C7" s="4" t="n">
        <v>601546</v>
      </c>
      <c r="D7" s="15" t="n">
        <v>-13249</v>
      </c>
      <c r="E7" s="11" t="n">
        <v>0.125</v>
      </c>
      <c r="F7" s="4" t="n">
        <v>40000</v>
      </c>
      <c r="G7" s="4" t="n">
        <v>15000</v>
      </c>
      <c r="H7" s="16" t="n">
        <v>50.2</v>
      </c>
      <c r="I7" s="11" t="n">
        <v>0.86</v>
      </c>
      <c r="J7" s="5" t="s">
        <v>64</v>
      </c>
    </row>
    <row r="8" customFormat="false" ht="15" hidden="false" customHeight="false" outlineLevel="0" collapsed="false">
      <c r="A8" s="6" t="s">
        <v>9</v>
      </c>
      <c r="B8" s="8" t="s">
        <v>7</v>
      </c>
      <c r="C8" s="7" t="n">
        <v>597000</v>
      </c>
      <c r="D8" s="17" t="n">
        <v>-4546</v>
      </c>
      <c r="E8" s="12" t="n">
        <v>0.11</v>
      </c>
      <c r="F8" s="7" t="n">
        <v>35000</v>
      </c>
      <c r="G8" s="7" t="n">
        <v>10000</v>
      </c>
      <c r="H8" s="18" t="n">
        <v>52.3</v>
      </c>
      <c r="I8" s="12" t="n">
        <v>0.87</v>
      </c>
      <c r="J8" s="8"/>
    </row>
    <row r="9" customFormat="false" ht="15" hidden="false" customHeight="false" outlineLevel="0" collapsed="false">
      <c r="A9" s="3" t="s">
        <v>11</v>
      </c>
      <c r="B9" s="5" t="s">
        <v>2</v>
      </c>
      <c r="C9" s="4" t="n">
        <v>228123</v>
      </c>
      <c r="D9" s="15" t="n">
        <v>-10313</v>
      </c>
      <c r="E9" s="11" t="n">
        <v>0.213</v>
      </c>
      <c r="F9" s="4" t="n">
        <v>18000</v>
      </c>
      <c r="G9" s="4" t="n">
        <v>8000</v>
      </c>
      <c r="H9" s="16" t="n">
        <v>56</v>
      </c>
      <c r="I9" s="11" t="n">
        <v>0.82</v>
      </c>
      <c r="J9" s="5"/>
    </row>
    <row r="10" customFormat="false" ht="15" hidden="false" customHeight="false" outlineLevel="0" collapsed="false">
      <c r="A10" s="6" t="s">
        <v>11</v>
      </c>
      <c r="B10" s="8" t="s">
        <v>3</v>
      </c>
      <c r="C10" s="7" t="n">
        <v>259619</v>
      </c>
      <c r="D10" s="17" t="n">
        <v>31496</v>
      </c>
      <c r="E10" s="12" t="n">
        <v>0.24</v>
      </c>
      <c r="F10" s="7" t="n">
        <v>35000</v>
      </c>
      <c r="G10" s="7" t="n">
        <v>15000</v>
      </c>
      <c r="H10" s="18" t="n">
        <v>57.5</v>
      </c>
      <c r="I10" s="12" t="n">
        <v>0.845</v>
      </c>
      <c r="J10" s="8"/>
    </row>
    <row r="11" customFormat="false" ht="15" hidden="false" customHeight="false" outlineLevel="0" collapsed="false">
      <c r="A11" s="3" t="s">
        <v>11</v>
      </c>
      <c r="B11" s="5" t="s">
        <v>4</v>
      </c>
      <c r="C11" s="4" t="n">
        <v>314015</v>
      </c>
      <c r="D11" s="15" t="n">
        <v>54396</v>
      </c>
      <c r="E11" s="11" t="n">
        <v>0.284</v>
      </c>
      <c r="F11" s="4" t="n">
        <v>85000</v>
      </c>
      <c r="G11" s="4" t="n">
        <v>40000</v>
      </c>
      <c r="H11" s="16" t="n">
        <v>58</v>
      </c>
      <c r="I11" s="11" t="n">
        <v>0.871</v>
      </c>
      <c r="J11" s="5" t="s">
        <v>65</v>
      </c>
    </row>
    <row r="12" customFormat="false" ht="15" hidden="false" customHeight="false" outlineLevel="0" collapsed="false">
      <c r="A12" s="6" t="s">
        <v>11</v>
      </c>
      <c r="B12" s="8" t="s">
        <v>5</v>
      </c>
      <c r="C12" s="7" t="n">
        <v>343234</v>
      </c>
      <c r="D12" s="17" t="n">
        <v>29219</v>
      </c>
      <c r="E12" s="12" t="n">
        <v>0.243</v>
      </c>
      <c r="F12" s="7" t="n">
        <v>50000</v>
      </c>
      <c r="G12" s="7" t="n">
        <v>25000</v>
      </c>
      <c r="H12" s="18" t="n">
        <v>53.1</v>
      </c>
      <c r="I12" s="12" t="n">
        <v>0.826</v>
      </c>
      <c r="J12" s="8"/>
    </row>
    <row r="13" customFormat="false" ht="15" hidden="false" customHeight="false" outlineLevel="0" collapsed="false">
      <c r="A13" s="3" t="s">
        <v>11</v>
      </c>
      <c r="B13" s="5" t="s">
        <v>6</v>
      </c>
      <c r="C13" s="4" t="n">
        <v>317240</v>
      </c>
      <c r="D13" s="15" t="n">
        <v>-25994</v>
      </c>
      <c r="E13" s="11" t="n">
        <v>0.129</v>
      </c>
      <c r="F13" s="4" t="n">
        <v>20000</v>
      </c>
      <c r="G13" s="4" t="n">
        <v>8000</v>
      </c>
      <c r="H13" s="16" t="n">
        <v>61.7</v>
      </c>
      <c r="I13" s="11" t="n">
        <v>0.85</v>
      </c>
      <c r="J13" s="5" t="s">
        <v>66</v>
      </c>
    </row>
    <row r="14" customFormat="false" ht="15" hidden="false" customHeight="false" outlineLevel="0" collapsed="false">
      <c r="A14" s="6" t="s">
        <v>11</v>
      </c>
      <c r="B14" s="8" t="s">
        <v>7</v>
      </c>
      <c r="C14" s="7" t="n">
        <v>330000</v>
      </c>
      <c r="D14" s="17" t="n">
        <v>12760</v>
      </c>
      <c r="E14" s="12" t="n">
        <v>0.115</v>
      </c>
      <c r="F14" s="7" t="n">
        <v>30000</v>
      </c>
      <c r="G14" s="7" t="n">
        <v>12000</v>
      </c>
      <c r="H14" s="18" t="n">
        <v>64</v>
      </c>
      <c r="I14" s="12" t="n">
        <v>0.86</v>
      </c>
      <c r="J14" s="8"/>
    </row>
    <row r="15" customFormat="false" ht="15" hidden="false" customHeight="false" outlineLevel="0" collapsed="false">
      <c r="A15" s="3" t="s">
        <v>13</v>
      </c>
      <c r="B15" s="5" t="s">
        <v>2</v>
      </c>
      <c r="C15" s="4" t="n">
        <v>197712</v>
      </c>
      <c r="D15" s="15" t="n">
        <v>-1504</v>
      </c>
      <c r="E15" s="11" t="n">
        <v>0.16</v>
      </c>
      <c r="F15" s="4" t="n">
        <v>10000</v>
      </c>
      <c r="G15" s="4" t="n">
        <v>6000</v>
      </c>
      <c r="H15" s="16" t="n">
        <v>41.1</v>
      </c>
      <c r="I15" s="11" t="n">
        <v>0.79</v>
      </c>
      <c r="J15" s="5"/>
    </row>
    <row r="16" customFormat="false" ht="15" hidden="false" customHeight="false" outlineLevel="0" collapsed="false">
      <c r="A16" s="6" t="s">
        <v>13</v>
      </c>
      <c r="B16" s="8" t="s">
        <v>3</v>
      </c>
      <c r="C16" s="7" t="n">
        <v>197343</v>
      </c>
      <c r="D16" s="17" t="n">
        <v>-369</v>
      </c>
      <c r="E16" s="12" t="n">
        <v>0.227</v>
      </c>
      <c r="F16" s="7" t="n">
        <v>18000</v>
      </c>
      <c r="G16" s="7" t="n">
        <v>9000</v>
      </c>
      <c r="H16" s="18" t="n">
        <v>48.1</v>
      </c>
      <c r="I16" s="12" t="n">
        <v>0.805</v>
      </c>
      <c r="J16" s="8"/>
    </row>
    <row r="17" customFormat="false" ht="15" hidden="false" customHeight="false" outlineLevel="0" collapsed="false">
      <c r="A17" s="3" t="s">
        <v>13</v>
      </c>
      <c r="B17" s="5" t="s">
        <v>4</v>
      </c>
      <c r="C17" s="4" t="n">
        <v>236049</v>
      </c>
      <c r="D17" s="15" t="n">
        <v>38706</v>
      </c>
      <c r="E17" s="11" t="n">
        <v>0.233</v>
      </c>
      <c r="F17" s="4" t="n">
        <v>45000</v>
      </c>
      <c r="G17" s="4" t="n">
        <v>22000</v>
      </c>
      <c r="H17" s="16" t="n">
        <v>44</v>
      </c>
      <c r="I17" s="11" t="n">
        <v>0.84</v>
      </c>
      <c r="J17" s="5"/>
    </row>
    <row r="18" customFormat="false" ht="15" hidden="false" customHeight="false" outlineLevel="0" collapsed="false">
      <c r="A18" s="6" t="s">
        <v>13</v>
      </c>
      <c r="B18" s="8" t="s">
        <v>5</v>
      </c>
      <c r="C18" s="7" t="n">
        <v>258570</v>
      </c>
      <c r="D18" s="17" t="n">
        <v>22521</v>
      </c>
      <c r="E18" s="12" t="n">
        <v>0.227</v>
      </c>
      <c r="F18" s="7" t="n">
        <v>30000</v>
      </c>
      <c r="G18" s="7" t="n">
        <v>15000</v>
      </c>
      <c r="H18" s="18" t="n">
        <v>43.1</v>
      </c>
      <c r="I18" s="12" t="n">
        <v>0.8</v>
      </c>
      <c r="J18" s="8"/>
    </row>
    <row r="19" customFormat="false" ht="15" hidden="false" customHeight="false" outlineLevel="0" collapsed="false">
      <c r="A19" s="3" t="s">
        <v>13</v>
      </c>
      <c r="B19" s="5" t="s">
        <v>6</v>
      </c>
      <c r="C19" s="4" t="n">
        <v>233066</v>
      </c>
      <c r="D19" s="15" t="n">
        <v>-25504</v>
      </c>
      <c r="E19" s="11" t="n">
        <v>0.144</v>
      </c>
      <c r="F19" s="4" t="n">
        <v>15000</v>
      </c>
      <c r="G19" s="4" t="n">
        <v>6000</v>
      </c>
      <c r="H19" s="16" t="n">
        <v>46.5</v>
      </c>
      <c r="I19" s="11" t="n">
        <v>0.815</v>
      </c>
      <c r="J19" s="5" t="s">
        <v>67</v>
      </c>
    </row>
    <row r="20" customFormat="false" ht="15" hidden="false" customHeight="false" outlineLevel="0" collapsed="false">
      <c r="A20" s="6" t="s">
        <v>13</v>
      </c>
      <c r="B20" s="8" t="s">
        <v>7</v>
      </c>
      <c r="C20" s="7" t="n">
        <v>228000</v>
      </c>
      <c r="D20" s="17" t="n">
        <v>-5066</v>
      </c>
      <c r="E20" s="12" t="n">
        <v>0.12</v>
      </c>
      <c r="F20" s="7" t="n">
        <v>18000</v>
      </c>
      <c r="G20" s="7" t="n">
        <v>7000</v>
      </c>
      <c r="H20" s="18" t="n">
        <v>49.1</v>
      </c>
      <c r="I20" s="12" t="n">
        <v>0.83</v>
      </c>
      <c r="J20" s="8"/>
    </row>
    <row r="21" customFormat="false" ht="15" hidden="false" customHeight="false" outlineLevel="0" collapsed="false">
      <c r="A21" s="3" t="s">
        <v>15</v>
      </c>
      <c r="B21" s="5" t="s">
        <v>2</v>
      </c>
      <c r="C21" s="4" t="n">
        <v>150423</v>
      </c>
      <c r="D21" s="15" t="n">
        <v>2141</v>
      </c>
      <c r="E21" s="11" t="n">
        <v>0.194</v>
      </c>
      <c r="F21" s="4" t="n">
        <v>8000</v>
      </c>
      <c r="G21" s="4" t="n">
        <v>5000</v>
      </c>
      <c r="H21" s="16" t="n">
        <v>64</v>
      </c>
      <c r="I21" s="11" t="n">
        <v>0.805</v>
      </c>
      <c r="J21" s="5"/>
    </row>
    <row r="22" customFormat="false" ht="15" hidden="false" customHeight="false" outlineLevel="0" collapsed="false">
      <c r="A22" s="6" t="s">
        <v>15</v>
      </c>
      <c r="B22" s="8" t="s">
        <v>3</v>
      </c>
      <c r="C22" s="7" t="n">
        <v>168977</v>
      </c>
      <c r="D22" s="17" t="n">
        <v>18554</v>
      </c>
      <c r="E22" s="12" t="n">
        <v>0.21</v>
      </c>
      <c r="F22" s="7" t="n">
        <v>20000</v>
      </c>
      <c r="G22" s="7" t="n">
        <v>10000</v>
      </c>
      <c r="H22" s="18" t="n">
        <v>60.2</v>
      </c>
      <c r="I22" s="12" t="n">
        <v>0.82</v>
      </c>
      <c r="J22" s="8"/>
    </row>
    <row r="23" customFormat="false" ht="15" hidden="false" customHeight="false" outlineLevel="0" collapsed="false">
      <c r="A23" s="3" t="s">
        <v>15</v>
      </c>
      <c r="B23" s="5" t="s">
        <v>4</v>
      </c>
      <c r="C23" s="4" t="n">
        <v>203226</v>
      </c>
      <c r="D23" s="15" t="n">
        <v>34249</v>
      </c>
      <c r="E23" s="11" t="n">
        <v>0.219</v>
      </c>
      <c r="F23" s="4" t="n">
        <v>40000</v>
      </c>
      <c r="G23" s="4" t="n">
        <v>20000</v>
      </c>
      <c r="H23" s="16" t="n">
        <v>57.9</v>
      </c>
      <c r="I23" s="11" t="n">
        <v>0.84</v>
      </c>
      <c r="J23" s="5"/>
    </row>
    <row r="24" customFormat="false" ht="15" hidden="false" customHeight="false" outlineLevel="0" collapsed="false">
      <c r="A24" s="6" t="s">
        <v>15</v>
      </c>
      <c r="B24" s="8" t="s">
        <v>5</v>
      </c>
      <c r="C24" s="7" t="n">
        <v>225944</v>
      </c>
      <c r="D24" s="17" t="n">
        <v>22718</v>
      </c>
      <c r="E24" s="12" t="n">
        <v>0.238</v>
      </c>
      <c r="F24" s="7" t="n">
        <v>30000</v>
      </c>
      <c r="G24" s="7" t="n">
        <v>15000</v>
      </c>
      <c r="H24" s="18" t="n">
        <v>58.9</v>
      </c>
      <c r="I24" s="12" t="n">
        <v>0.81</v>
      </c>
      <c r="J24" s="8" t="s">
        <v>68</v>
      </c>
    </row>
    <row r="25" customFormat="false" ht="15" hidden="false" customHeight="false" outlineLevel="0" collapsed="false">
      <c r="A25" s="3" t="s">
        <v>15</v>
      </c>
      <c r="B25" s="5" t="s">
        <v>6</v>
      </c>
      <c r="C25" s="4" t="n">
        <v>227481</v>
      </c>
      <c r="D25" s="15" t="n">
        <v>1537</v>
      </c>
      <c r="E25" s="11" t="n">
        <v>0.132</v>
      </c>
      <c r="F25" s="4" t="n">
        <v>18000</v>
      </c>
      <c r="G25" s="4" t="n">
        <v>8000</v>
      </c>
      <c r="H25" s="16" t="n">
        <v>62.6</v>
      </c>
      <c r="I25" s="11" t="n">
        <v>0.83</v>
      </c>
      <c r="J25" s="5" t="s">
        <v>69</v>
      </c>
    </row>
    <row r="26" customFormat="false" ht="15" hidden="false" customHeight="false" outlineLevel="0" collapsed="false">
      <c r="A26" s="6" t="s">
        <v>15</v>
      </c>
      <c r="B26" s="8" t="s">
        <v>7</v>
      </c>
      <c r="C26" s="7" t="n">
        <v>235000</v>
      </c>
      <c r="D26" s="17" t="n">
        <v>7519</v>
      </c>
      <c r="E26" s="12" t="n">
        <v>0.12</v>
      </c>
      <c r="F26" s="7" t="n">
        <v>22000</v>
      </c>
      <c r="G26" s="7" t="n">
        <v>10000</v>
      </c>
      <c r="H26" s="18" t="n">
        <v>65.5</v>
      </c>
      <c r="I26" s="12" t="n">
        <v>0.845</v>
      </c>
      <c r="J26" s="8"/>
    </row>
    <row r="27" customFormat="false" ht="15" hidden="false" customHeight="false" outlineLevel="0" collapsed="false">
      <c r="A27" s="3" t="s">
        <v>17</v>
      </c>
      <c r="B27" s="5" t="s">
        <v>2</v>
      </c>
      <c r="C27" s="4" t="n">
        <v>506000</v>
      </c>
      <c r="D27" s="15" t="n">
        <v>17000</v>
      </c>
      <c r="E27" s="11" t="n">
        <v>0.17</v>
      </c>
      <c r="F27" s="4" t="n">
        <v>60000</v>
      </c>
      <c r="G27" s="4" t="n">
        <v>30000</v>
      </c>
      <c r="H27" s="16" t="n">
        <v>87.6</v>
      </c>
      <c r="I27" s="11" t="n">
        <v>0.9</v>
      </c>
      <c r="J27" s="5"/>
    </row>
    <row r="28" customFormat="false" ht="15" hidden="false" customHeight="false" outlineLevel="0" collapsed="false">
      <c r="A28" s="6" t="s">
        <v>17</v>
      </c>
      <c r="B28" s="8" t="s">
        <v>3</v>
      </c>
      <c r="C28" s="7" t="n">
        <v>537000</v>
      </c>
      <c r="D28" s="17" t="n">
        <v>31000</v>
      </c>
      <c r="E28" s="12" t="n">
        <v>0.172</v>
      </c>
      <c r="F28" s="7" t="n">
        <v>70000</v>
      </c>
      <c r="G28" s="7" t="n">
        <v>35000</v>
      </c>
      <c r="H28" s="18" t="n">
        <v>94.1</v>
      </c>
      <c r="I28" s="12" t="n">
        <v>0.91</v>
      </c>
      <c r="J28" s="8"/>
    </row>
    <row r="29" customFormat="false" ht="15" hidden="false" customHeight="false" outlineLevel="0" collapsed="false">
      <c r="A29" s="3" t="s">
        <v>17</v>
      </c>
      <c r="B29" s="5" t="s">
        <v>4</v>
      </c>
      <c r="C29" s="4" t="n">
        <v>738000</v>
      </c>
      <c r="D29" s="15" t="n">
        <v>201000</v>
      </c>
      <c r="E29" s="11" t="n">
        <v>0.201</v>
      </c>
      <c r="F29" s="4" t="n">
        <v>150000</v>
      </c>
      <c r="G29" s="4" t="n">
        <v>90000</v>
      </c>
      <c r="H29" s="16" t="n">
        <v>83.5</v>
      </c>
      <c r="I29" s="11" t="n">
        <v>0.92</v>
      </c>
      <c r="J29" s="5" t="s">
        <v>70</v>
      </c>
    </row>
    <row r="30" customFormat="false" ht="15" hidden="false" customHeight="false" outlineLevel="0" collapsed="false">
      <c r="A30" s="6" t="s">
        <v>17</v>
      </c>
      <c r="B30" s="8" t="s">
        <v>5</v>
      </c>
      <c r="C30" s="7" t="n">
        <v>733000</v>
      </c>
      <c r="D30" s="17" t="n">
        <v>-5000</v>
      </c>
      <c r="E30" s="12" t="n">
        <v>0.185</v>
      </c>
      <c r="F30" s="7" t="n">
        <v>80000</v>
      </c>
      <c r="G30" s="7" t="n">
        <v>40000</v>
      </c>
      <c r="H30" s="18" t="n">
        <v>87.5</v>
      </c>
      <c r="I30" s="12" t="n">
        <v>0.905</v>
      </c>
      <c r="J30" s="8"/>
    </row>
    <row r="31" customFormat="false" ht="15" hidden="false" customHeight="false" outlineLevel="0" collapsed="false">
      <c r="A31" s="3" t="s">
        <v>17</v>
      </c>
      <c r="B31" s="5" t="s">
        <v>6</v>
      </c>
      <c r="C31" s="4" t="n">
        <v>774000</v>
      </c>
      <c r="D31" s="15" t="n">
        <v>41000</v>
      </c>
      <c r="E31" s="11" t="n">
        <v>0.15</v>
      </c>
      <c r="F31" s="4" t="n">
        <v>75000</v>
      </c>
      <c r="G31" s="4" t="n">
        <v>45000</v>
      </c>
      <c r="H31" s="16" t="n">
        <v>83.8</v>
      </c>
      <c r="I31" s="11" t="n">
        <v>0.91</v>
      </c>
      <c r="J31" s="5"/>
    </row>
    <row r="32" customFormat="false" ht="15" hidden="false" customHeight="false" outlineLevel="0" collapsed="false">
      <c r="A32" s="6" t="s">
        <v>17</v>
      </c>
      <c r="B32" s="8" t="s">
        <v>7</v>
      </c>
      <c r="C32" s="7" t="n">
        <v>770000</v>
      </c>
      <c r="D32" s="17" t="n">
        <v>-4000</v>
      </c>
      <c r="E32" s="12" t="n">
        <v>0.135</v>
      </c>
      <c r="F32" s="7" t="n">
        <v>60000</v>
      </c>
      <c r="G32" s="7" t="n">
        <v>30000</v>
      </c>
      <c r="H32" s="18" t="n">
        <v>87.3</v>
      </c>
      <c r="I32" s="12" t="n">
        <v>0.915</v>
      </c>
      <c r="J32" s="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8BFA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 t="s">
        <v>42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8</v>
      </c>
    </row>
    <row r="3" customFormat="false" ht="15" hidden="false" customHeight="false" outlineLevel="0" collapsed="false">
      <c r="A3" s="3" t="s">
        <v>9</v>
      </c>
      <c r="B3" s="5" t="s">
        <v>2</v>
      </c>
      <c r="C3" s="4" t="n">
        <v>22173</v>
      </c>
      <c r="D3" s="4" t="n">
        <v>2660</v>
      </c>
      <c r="E3" s="4" t="n">
        <v>1554</v>
      </c>
      <c r="F3" s="4" t="n">
        <v>5432</v>
      </c>
      <c r="G3" s="11" t="n">
        <v>0.12</v>
      </c>
      <c r="H3" s="11" t="n">
        <v>0.07</v>
      </c>
      <c r="I3" s="5" t="s">
        <v>33</v>
      </c>
      <c r="J3" s="5" t="s">
        <v>79</v>
      </c>
    </row>
    <row r="4" customFormat="false" ht="15" hidden="false" customHeight="false" outlineLevel="0" collapsed="false">
      <c r="A4" s="6" t="s">
        <v>9</v>
      </c>
      <c r="B4" s="8" t="s">
        <v>3</v>
      </c>
      <c r="C4" s="7" t="n">
        <v>25706</v>
      </c>
      <c r="D4" s="7" t="n">
        <v>3599</v>
      </c>
      <c r="E4" s="7" t="n">
        <v>2313</v>
      </c>
      <c r="F4" s="7" t="n">
        <v>7460</v>
      </c>
      <c r="G4" s="12" t="n">
        <v>0.14</v>
      </c>
      <c r="H4" s="12" t="n">
        <v>0.09</v>
      </c>
      <c r="I4" s="8" t="s">
        <v>80</v>
      </c>
      <c r="J4" s="8"/>
    </row>
    <row r="5" customFormat="false" ht="15" hidden="false" customHeight="false" outlineLevel="0" collapsed="false">
      <c r="A5" s="3" t="s">
        <v>9</v>
      </c>
      <c r="B5" s="5" t="s">
        <v>4</v>
      </c>
      <c r="C5" s="4" t="n">
        <v>27929</v>
      </c>
      <c r="D5" s="4" t="n">
        <v>4747</v>
      </c>
      <c r="E5" s="4" t="n">
        <v>3630</v>
      </c>
      <c r="F5" s="4" t="n">
        <v>8939</v>
      </c>
      <c r="G5" s="11" t="n">
        <v>0.17</v>
      </c>
      <c r="H5" s="11" t="n">
        <v>0.13</v>
      </c>
      <c r="I5" s="5" t="s">
        <v>81</v>
      </c>
      <c r="J5" s="5"/>
    </row>
    <row r="6" customFormat="false" ht="15" hidden="false" customHeight="false" outlineLevel="0" collapsed="false">
      <c r="A6" s="6" t="s">
        <v>9</v>
      </c>
      <c r="B6" s="8" t="s">
        <v>5</v>
      </c>
      <c r="C6" s="7" t="n">
        <v>29083</v>
      </c>
      <c r="D6" s="7" t="n">
        <v>6680</v>
      </c>
      <c r="E6" s="7" t="n">
        <v>5817</v>
      </c>
      <c r="F6" s="7" t="n">
        <v>9937</v>
      </c>
      <c r="G6" s="12" t="n">
        <v>0.23</v>
      </c>
      <c r="H6" s="12" t="n">
        <v>0.2</v>
      </c>
      <c r="I6" s="8" t="s">
        <v>82</v>
      </c>
      <c r="J6" s="8" t="s">
        <v>83</v>
      </c>
    </row>
    <row r="7" customFormat="false" ht="15" hidden="false" customHeight="false" outlineLevel="0" collapsed="false">
      <c r="A7" s="3" t="s">
        <v>9</v>
      </c>
      <c r="B7" s="5" t="s">
        <v>6</v>
      </c>
      <c r="C7" s="4" t="n">
        <v>30175</v>
      </c>
      <c r="D7" s="4" t="n">
        <v>8450</v>
      </c>
      <c r="E7" s="4" t="n">
        <v>7544</v>
      </c>
      <c r="F7" s="4" t="n">
        <v>10261</v>
      </c>
      <c r="G7" s="11" t="n">
        <v>0.28</v>
      </c>
      <c r="H7" s="11" t="n">
        <v>0.25</v>
      </c>
      <c r="I7" s="5" t="s">
        <v>84</v>
      </c>
      <c r="J7" s="5"/>
    </row>
    <row r="8" customFormat="false" ht="15" hidden="false" customHeight="false" outlineLevel="0" collapsed="false">
      <c r="A8" s="6" t="s">
        <v>9</v>
      </c>
      <c r="B8" s="8" t="s">
        <v>7</v>
      </c>
      <c r="C8" s="7" t="n">
        <v>31200</v>
      </c>
      <c r="D8" s="7" t="n">
        <v>9672</v>
      </c>
      <c r="E8" s="7" t="n">
        <v>9360</v>
      </c>
      <c r="F8" s="7" t="n">
        <v>10868</v>
      </c>
      <c r="G8" s="12" t="n">
        <v>0.31</v>
      </c>
      <c r="H8" s="12" t="n">
        <v>0.3</v>
      </c>
      <c r="I8" s="8" t="s">
        <v>85</v>
      </c>
      <c r="J8" s="8"/>
    </row>
    <row r="9" customFormat="false" ht="15" hidden="false" customHeight="false" outlineLevel="0" collapsed="false">
      <c r="A9" s="3" t="s">
        <v>11</v>
      </c>
      <c r="B9" s="5" t="s">
        <v>2</v>
      </c>
      <c r="C9" s="4" t="n">
        <v>12780</v>
      </c>
      <c r="D9" s="4" t="n">
        <v>1278</v>
      </c>
      <c r="E9" s="4" t="n">
        <v>639</v>
      </c>
      <c r="F9" s="4" t="n">
        <v>3562</v>
      </c>
      <c r="G9" s="11" t="n">
        <v>0.1</v>
      </c>
      <c r="H9" s="11" t="n">
        <v>0.05</v>
      </c>
      <c r="I9" s="5" t="s">
        <v>33</v>
      </c>
      <c r="J9" s="5"/>
    </row>
    <row r="10" customFormat="false" ht="15" hidden="false" customHeight="false" outlineLevel="0" collapsed="false">
      <c r="A10" s="6" t="s">
        <v>11</v>
      </c>
      <c r="B10" s="8" t="s">
        <v>3</v>
      </c>
      <c r="C10" s="7" t="n">
        <v>14928</v>
      </c>
      <c r="D10" s="7" t="n">
        <v>2090</v>
      </c>
      <c r="E10" s="7" t="n">
        <v>1046</v>
      </c>
      <c r="F10" s="7" t="n">
        <v>4627</v>
      </c>
      <c r="G10" s="12" t="n">
        <v>0.14</v>
      </c>
      <c r="H10" s="12" t="n">
        <v>0.07</v>
      </c>
      <c r="I10" s="8" t="s">
        <v>86</v>
      </c>
      <c r="J10" s="8" t="s">
        <v>87</v>
      </c>
    </row>
    <row r="11" customFormat="false" ht="15" hidden="false" customHeight="false" outlineLevel="0" collapsed="false">
      <c r="A11" s="3" t="s">
        <v>11</v>
      </c>
      <c r="B11" s="5" t="s">
        <v>4</v>
      </c>
      <c r="C11" s="4" t="n">
        <v>18212</v>
      </c>
      <c r="D11" s="4" t="n">
        <v>3642</v>
      </c>
      <c r="E11" s="4" t="n">
        <v>2731</v>
      </c>
      <c r="F11" s="4" t="n">
        <v>6001</v>
      </c>
      <c r="G11" s="11" t="n">
        <v>0.2</v>
      </c>
      <c r="H11" s="11" t="n">
        <v>0.15</v>
      </c>
      <c r="I11" s="5" t="s">
        <v>88</v>
      </c>
      <c r="J11" s="5" t="s">
        <v>89</v>
      </c>
    </row>
    <row r="12" customFormat="false" ht="15" hidden="false" customHeight="false" outlineLevel="0" collapsed="false">
      <c r="A12" s="6" t="s">
        <v>11</v>
      </c>
      <c r="B12" s="8" t="s">
        <v>5</v>
      </c>
      <c r="C12" s="7" t="n">
        <v>18212</v>
      </c>
      <c r="D12" s="7" t="n">
        <v>4553</v>
      </c>
      <c r="E12" s="7" t="n">
        <v>3642</v>
      </c>
      <c r="F12" s="7" t="n">
        <v>6001</v>
      </c>
      <c r="G12" s="12" t="n">
        <v>0.25</v>
      </c>
      <c r="H12" s="12" t="n">
        <v>0.2</v>
      </c>
      <c r="I12" s="8" t="s">
        <v>90</v>
      </c>
      <c r="J12" s="8"/>
    </row>
    <row r="13" customFormat="false" ht="15" hidden="false" customHeight="false" outlineLevel="0" collapsed="false">
      <c r="A13" s="3" t="s">
        <v>11</v>
      </c>
      <c r="B13" s="5" t="s">
        <v>6</v>
      </c>
      <c r="C13" s="4" t="n">
        <v>19573</v>
      </c>
      <c r="D13" s="4" t="n">
        <v>5481</v>
      </c>
      <c r="E13" s="4" t="n">
        <v>4893</v>
      </c>
      <c r="F13" s="4" t="n">
        <v>6450</v>
      </c>
      <c r="G13" s="11" t="n">
        <v>0.28</v>
      </c>
      <c r="H13" s="11" t="n">
        <v>0.25</v>
      </c>
      <c r="I13" s="5" t="s">
        <v>91</v>
      </c>
      <c r="J13" s="5"/>
    </row>
    <row r="14" customFormat="false" ht="15" hidden="false" customHeight="false" outlineLevel="0" collapsed="false">
      <c r="A14" s="6" t="s">
        <v>11</v>
      </c>
      <c r="B14" s="8" t="s">
        <v>7</v>
      </c>
      <c r="C14" s="7" t="n">
        <v>21100</v>
      </c>
      <c r="D14" s="7" t="n">
        <v>6330</v>
      </c>
      <c r="E14" s="7" t="n">
        <v>6330</v>
      </c>
      <c r="F14" s="7" t="n">
        <v>7174</v>
      </c>
      <c r="G14" s="12" t="n">
        <v>0.3</v>
      </c>
      <c r="H14" s="12" t="n">
        <v>0.3</v>
      </c>
      <c r="I14" s="8" t="s">
        <v>92</v>
      </c>
      <c r="J14" s="8"/>
    </row>
    <row r="15" customFormat="false" ht="15" hidden="false" customHeight="false" outlineLevel="0" collapsed="false">
      <c r="A15" s="3" t="s">
        <v>13</v>
      </c>
      <c r="B15" s="5" t="s">
        <v>2</v>
      </c>
      <c r="C15" s="4" t="n">
        <v>8133</v>
      </c>
      <c r="D15" s="4" t="n">
        <v>651</v>
      </c>
      <c r="E15" s="4" t="n">
        <v>244</v>
      </c>
      <c r="F15" s="4" t="n">
        <v>2114</v>
      </c>
      <c r="G15" s="11" t="n">
        <v>0.08</v>
      </c>
      <c r="H15" s="11" t="n">
        <v>0.03</v>
      </c>
      <c r="I15" s="5" t="s">
        <v>33</v>
      </c>
      <c r="J15" s="5"/>
    </row>
    <row r="16" customFormat="false" ht="15" hidden="false" customHeight="false" outlineLevel="0" collapsed="false">
      <c r="A16" s="6" t="s">
        <v>13</v>
      </c>
      <c r="B16" s="8" t="s">
        <v>3</v>
      </c>
      <c r="C16" s="7" t="n">
        <v>9494</v>
      </c>
      <c r="D16" s="7" t="n">
        <v>949</v>
      </c>
      <c r="E16" s="7" t="n">
        <v>570</v>
      </c>
      <c r="F16" s="7" t="n">
        <v>2753</v>
      </c>
      <c r="G16" s="12" t="n">
        <v>0.1</v>
      </c>
      <c r="H16" s="12" t="n">
        <v>0.06</v>
      </c>
      <c r="I16" s="8" t="s">
        <v>93</v>
      </c>
      <c r="J16" s="8"/>
    </row>
    <row r="17" customFormat="false" ht="15" hidden="false" customHeight="false" outlineLevel="0" collapsed="false">
      <c r="A17" s="3" t="s">
        <v>13</v>
      </c>
      <c r="B17" s="5" t="s">
        <v>4</v>
      </c>
      <c r="C17" s="4" t="n">
        <v>10396</v>
      </c>
      <c r="D17" s="4" t="n">
        <v>1456</v>
      </c>
      <c r="E17" s="4" t="n">
        <v>936</v>
      </c>
      <c r="F17" s="4" t="n">
        <v>2807</v>
      </c>
      <c r="G17" s="11" t="n">
        <v>0.14</v>
      </c>
      <c r="H17" s="11" t="n">
        <v>0.09</v>
      </c>
      <c r="I17" s="5" t="s">
        <v>94</v>
      </c>
      <c r="J17" s="5"/>
    </row>
    <row r="18" customFormat="false" ht="15" hidden="false" customHeight="false" outlineLevel="0" collapsed="false">
      <c r="A18" s="6" t="s">
        <v>13</v>
      </c>
      <c r="B18" s="8" t="s">
        <v>5</v>
      </c>
      <c r="C18" s="7" t="n">
        <v>11158</v>
      </c>
      <c r="D18" s="7" t="n">
        <v>1897</v>
      </c>
      <c r="E18" s="7" t="n">
        <v>1675</v>
      </c>
      <c r="F18" s="7" t="n">
        <v>3123</v>
      </c>
      <c r="G18" s="12" t="n">
        <v>0.17</v>
      </c>
      <c r="H18" s="12" t="n">
        <v>0.15</v>
      </c>
      <c r="I18" s="8" t="s">
        <v>95</v>
      </c>
      <c r="J18" s="8"/>
    </row>
    <row r="19" customFormat="false" ht="15" hidden="false" customHeight="false" outlineLevel="0" collapsed="false">
      <c r="A19" s="3" t="s">
        <v>13</v>
      </c>
      <c r="B19" s="5" t="s">
        <v>6</v>
      </c>
      <c r="C19" s="4" t="n">
        <v>10845</v>
      </c>
      <c r="D19" s="4" t="n">
        <v>1952</v>
      </c>
      <c r="E19" s="4" t="n">
        <v>1952</v>
      </c>
      <c r="F19" s="4" t="n">
        <v>2979</v>
      </c>
      <c r="G19" s="11" t="n">
        <v>0.18</v>
      </c>
      <c r="H19" s="11" t="n">
        <v>0.18</v>
      </c>
      <c r="I19" s="5" t="s">
        <v>96</v>
      </c>
      <c r="J19" s="5" t="s">
        <v>97</v>
      </c>
    </row>
    <row r="20" customFormat="false" ht="15" hidden="false" customHeight="false" outlineLevel="0" collapsed="false">
      <c r="A20" s="6" t="s">
        <v>13</v>
      </c>
      <c r="B20" s="8" t="s">
        <v>7</v>
      </c>
      <c r="C20" s="7" t="n">
        <v>11200</v>
      </c>
      <c r="D20" s="7" t="n">
        <v>2128</v>
      </c>
      <c r="E20" s="7" t="n">
        <v>2240</v>
      </c>
      <c r="F20" s="7" t="n">
        <v>3136</v>
      </c>
      <c r="G20" s="12" t="n">
        <v>0.19</v>
      </c>
      <c r="H20" s="12" t="n">
        <v>0.2</v>
      </c>
      <c r="I20" s="8" t="s">
        <v>98</v>
      </c>
      <c r="J20" s="8"/>
    </row>
    <row r="21" customFormat="false" ht="15" hidden="false" customHeight="false" outlineLevel="0" collapsed="false">
      <c r="A21" s="3" t="s">
        <v>15</v>
      </c>
      <c r="B21" s="5" t="s">
        <v>2</v>
      </c>
      <c r="C21" s="4" t="n">
        <v>9627</v>
      </c>
      <c r="D21" s="4" t="n">
        <v>867</v>
      </c>
      <c r="E21" s="4" t="n">
        <v>289</v>
      </c>
      <c r="F21" s="4" t="n">
        <v>2312</v>
      </c>
      <c r="G21" s="11" t="n">
        <v>0.09</v>
      </c>
      <c r="H21" s="11" t="n">
        <v>0.03</v>
      </c>
      <c r="I21" s="5" t="s">
        <v>33</v>
      </c>
      <c r="J21" s="5" t="s">
        <v>99</v>
      </c>
    </row>
    <row r="22" customFormat="false" ht="15" hidden="false" customHeight="false" outlineLevel="0" collapsed="false">
      <c r="A22" s="6" t="s">
        <v>15</v>
      </c>
      <c r="B22" s="8" t="s">
        <v>3</v>
      </c>
      <c r="C22" s="7" t="n">
        <v>10173</v>
      </c>
      <c r="D22" s="7" t="n">
        <v>1119</v>
      </c>
      <c r="E22" s="7" t="n">
        <v>407</v>
      </c>
      <c r="F22" s="7" t="n">
        <v>2543</v>
      </c>
      <c r="G22" s="12" t="n">
        <v>0.11</v>
      </c>
      <c r="H22" s="12" t="n">
        <v>0.04</v>
      </c>
      <c r="I22" s="8" t="s">
        <v>100</v>
      </c>
      <c r="J22" s="8"/>
    </row>
    <row r="23" customFormat="false" ht="15" hidden="false" customHeight="false" outlineLevel="0" collapsed="false">
      <c r="A23" s="3" t="s">
        <v>15</v>
      </c>
      <c r="B23" s="5" t="s">
        <v>4</v>
      </c>
      <c r="C23" s="4" t="n">
        <v>11777</v>
      </c>
      <c r="D23" s="4" t="n">
        <v>1649</v>
      </c>
      <c r="E23" s="4" t="n">
        <v>707</v>
      </c>
      <c r="F23" s="4" t="n">
        <v>2944</v>
      </c>
      <c r="G23" s="11" t="n">
        <v>0.14</v>
      </c>
      <c r="H23" s="11" t="n">
        <v>0.06</v>
      </c>
      <c r="I23" s="5" t="s">
        <v>101</v>
      </c>
      <c r="J23" s="5"/>
    </row>
    <row r="24" customFormat="false" ht="15" hidden="false" customHeight="false" outlineLevel="0" collapsed="false">
      <c r="A24" s="6" t="s">
        <v>15</v>
      </c>
      <c r="B24" s="8" t="s">
        <v>5</v>
      </c>
      <c r="C24" s="7" t="n">
        <v>13299</v>
      </c>
      <c r="D24" s="7" t="n">
        <v>2261</v>
      </c>
      <c r="E24" s="7" t="n">
        <v>1196</v>
      </c>
      <c r="F24" s="7" t="n">
        <v>3191</v>
      </c>
      <c r="G24" s="12" t="n">
        <v>0.17</v>
      </c>
      <c r="H24" s="12" t="n">
        <v>0.09</v>
      </c>
      <c r="I24" s="8" t="s">
        <v>102</v>
      </c>
      <c r="J24" s="8"/>
    </row>
    <row r="25" customFormat="false" ht="15" hidden="false" customHeight="false" outlineLevel="0" collapsed="false">
      <c r="A25" s="3" t="s">
        <v>15</v>
      </c>
      <c r="B25" s="5" t="s">
        <v>6</v>
      </c>
      <c r="C25" s="4" t="n">
        <v>14251</v>
      </c>
      <c r="D25" s="4" t="n">
        <v>2708</v>
      </c>
      <c r="E25" s="4" t="n">
        <v>1567</v>
      </c>
      <c r="F25" s="4" t="n">
        <v>3418</v>
      </c>
      <c r="G25" s="11" t="n">
        <v>0.19</v>
      </c>
      <c r="H25" s="11" t="n">
        <v>0.11</v>
      </c>
      <c r="I25" s="5" t="s">
        <v>103</v>
      </c>
      <c r="J25" s="5"/>
    </row>
    <row r="26" customFormat="false" ht="15" hidden="false" customHeight="false" outlineLevel="0" collapsed="false">
      <c r="A26" s="6" t="s">
        <v>15</v>
      </c>
      <c r="B26" s="8" t="s">
        <v>7</v>
      </c>
      <c r="C26" s="7" t="n">
        <v>15400</v>
      </c>
      <c r="D26" s="7" t="n">
        <v>3080</v>
      </c>
      <c r="E26" s="7" t="n">
        <v>2310</v>
      </c>
      <c r="F26" s="7" t="n">
        <v>3696</v>
      </c>
      <c r="G26" s="12" t="n">
        <v>0.2</v>
      </c>
      <c r="H26" s="12" t="n">
        <v>0.15</v>
      </c>
      <c r="I26" s="8" t="s">
        <v>104</v>
      </c>
      <c r="J26" s="8"/>
    </row>
    <row r="27" customFormat="false" ht="15" hidden="false" customHeight="false" outlineLevel="0" collapsed="false">
      <c r="A27" s="3" t="s">
        <v>17</v>
      </c>
      <c r="B27" s="5" t="s">
        <v>2</v>
      </c>
      <c r="C27" s="4" t="n">
        <v>44327</v>
      </c>
      <c r="D27" s="4" t="n">
        <v>5319</v>
      </c>
      <c r="E27" s="4" t="n">
        <v>2217</v>
      </c>
      <c r="F27" s="4" t="n">
        <v>26596</v>
      </c>
      <c r="G27" s="11" t="n">
        <v>0.12</v>
      </c>
      <c r="H27" s="11" t="n">
        <v>0.05</v>
      </c>
      <c r="I27" s="5" t="s">
        <v>33</v>
      </c>
      <c r="J27" s="5" t="s">
        <v>105</v>
      </c>
    </row>
    <row r="28" customFormat="false" ht="15" hidden="false" customHeight="false" outlineLevel="0" collapsed="false">
      <c r="A28" s="6" t="s">
        <v>17</v>
      </c>
      <c r="B28" s="8" t="s">
        <v>3</v>
      </c>
      <c r="C28" s="7" t="n">
        <v>50533</v>
      </c>
      <c r="D28" s="7" t="n">
        <v>9096</v>
      </c>
      <c r="E28" s="7" t="n">
        <v>4043</v>
      </c>
      <c r="F28" s="7" t="n">
        <v>30320</v>
      </c>
      <c r="G28" s="12" t="n">
        <v>0.18</v>
      </c>
      <c r="H28" s="12" t="n">
        <v>0.08</v>
      </c>
      <c r="I28" s="8" t="s">
        <v>106</v>
      </c>
      <c r="J28" s="8" t="s">
        <v>107</v>
      </c>
    </row>
    <row r="29" customFormat="false" ht="15" hidden="false" customHeight="false" outlineLevel="0" collapsed="false">
      <c r="A29" s="3" t="s">
        <v>17</v>
      </c>
      <c r="B29" s="5" t="s">
        <v>4</v>
      </c>
      <c r="C29" s="4" t="n">
        <v>61594</v>
      </c>
      <c r="D29" s="4" t="n">
        <v>15398</v>
      </c>
      <c r="E29" s="4" t="n">
        <v>7391</v>
      </c>
      <c r="F29" s="4" t="n">
        <v>36956</v>
      </c>
      <c r="G29" s="11" t="n">
        <v>0.25</v>
      </c>
      <c r="H29" s="11" t="n">
        <v>0.12</v>
      </c>
      <c r="I29" s="5" t="s">
        <v>108</v>
      </c>
      <c r="J29" s="5"/>
    </row>
    <row r="30" customFormat="false" ht="15" hidden="false" customHeight="false" outlineLevel="0" collapsed="false">
      <c r="A30" s="6" t="s">
        <v>17</v>
      </c>
      <c r="B30" s="8" t="s">
        <v>5</v>
      </c>
      <c r="C30" s="7" t="n">
        <v>64111</v>
      </c>
      <c r="D30" s="7" t="n">
        <v>20836</v>
      </c>
      <c r="E30" s="7" t="n">
        <v>10258</v>
      </c>
      <c r="F30" s="7" t="n">
        <v>38467</v>
      </c>
      <c r="G30" s="12" t="n">
        <v>0.325</v>
      </c>
      <c r="H30" s="12" t="n">
        <v>0.16</v>
      </c>
      <c r="I30" s="8" t="s">
        <v>80</v>
      </c>
      <c r="J30" s="8"/>
    </row>
    <row r="31" customFormat="false" ht="15" hidden="false" customHeight="false" outlineLevel="0" collapsed="false">
      <c r="A31" s="3" t="s">
        <v>17</v>
      </c>
      <c r="B31" s="5" t="s">
        <v>6</v>
      </c>
      <c r="C31" s="4" t="n">
        <v>64895</v>
      </c>
      <c r="D31" s="4" t="n">
        <v>22714</v>
      </c>
      <c r="E31" s="4" t="n">
        <v>13628</v>
      </c>
      <c r="F31" s="4" t="n">
        <v>38937</v>
      </c>
      <c r="G31" s="11" t="n">
        <v>0.35</v>
      </c>
      <c r="H31" s="11" t="n">
        <v>0.21</v>
      </c>
      <c r="I31" s="5" t="s">
        <v>98</v>
      </c>
      <c r="J31" s="5" t="s">
        <v>109</v>
      </c>
    </row>
    <row r="32" customFormat="false" ht="15" hidden="false" customHeight="false" outlineLevel="0" collapsed="false">
      <c r="A32" s="6" t="s">
        <v>17</v>
      </c>
      <c r="B32" s="8" t="s">
        <v>7</v>
      </c>
      <c r="C32" s="7" t="n">
        <v>67200</v>
      </c>
      <c r="D32" s="7" t="n">
        <v>24192</v>
      </c>
      <c r="E32" s="7" t="n">
        <v>16128</v>
      </c>
      <c r="F32" s="7" t="n">
        <v>40320</v>
      </c>
      <c r="G32" s="12" t="n">
        <v>0.36</v>
      </c>
      <c r="H32" s="12" t="n">
        <v>0.24</v>
      </c>
      <c r="I32" s="8" t="s">
        <v>110</v>
      </c>
      <c r="J32" s="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9" min="8" style="0" width="17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 t="s">
        <v>42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2" t="s">
        <v>72</v>
      </c>
      <c r="J2" s="2" t="s">
        <v>8</v>
      </c>
    </row>
    <row r="3" customFormat="false" ht="15" hidden="false" customHeight="false" outlineLevel="0" collapsed="false">
      <c r="A3" s="3" t="s">
        <v>9</v>
      </c>
      <c r="B3" s="5" t="s">
        <v>2</v>
      </c>
      <c r="C3" s="11" t="n">
        <v>0.517</v>
      </c>
      <c r="D3" s="11" t="n">
        <v>0.172</v>
      </c>
      <c r="E3" s="11" t="n">
        <v>0.147</v>
      </c>
      <c r="F3" s="11" t="n">
        <v>0.053</v>
      </c>
      <c r="G3" s="11" t="n">
        <v>0.08</v>
      </c>
      <c r="H3" s="11" t="n">
        <v>0.031</v>
      </c>
      <c r="I3" s="4" t="n">
        <v>22173</v>
      </c>
      <c r="J3" s="5"/>
    </row>
    <row r="4" customFormat="false" ht="15" hidden="false" customHeight="false" outlineLevel="0" collapsed="false">
      <c r="A4" s="6" t="s">
        <v>9</v>
      </c>
      <c r="B4" s="8" t="s">
        <v>3</v>
      </c>
      <c r="C4" s="12" t="n">
        <v>0.515</v>
      </c>
      <c r="D4" s="12" t="n">
        <v>0.174</v>
      </c>
      <c r="E4" s="12" t="n">
        <v>0.15</v>
      </c>
      <c r="F4" s="12" t="n">
        <v>0.052</v>
      </c>
      <c r="G4" s="12" t="n">
        <v>0.079</v>
      </c>
      <c r="H4" s="12" t="n">
        <v>0.03</v>
      </c>
      <c r="I4" s="7" t="n">
        <v>25706</v>
      </c>
      <c r="J4" s="8"/>
    </row>
    <row r="5" customFormat="false" ht="15" hidden="false" customHeight="false" outlineLevel="0" collapsed="false">
      <c r="A5" s="3" t="s">
        <v>9</v>
      </c>
      <c r="B5" s="5" t="s">
        <v>4</v>
      </c>
      <c r="C5" s="11" t="n">
        <v>0.521</v>
      </c>
      <c r="D5" s="11" t="n">
        <v>0.171</v>
      </c>
      <c r="E5" s="11" t="n">
        <v>0.145</v>
      </c>
      <c r="F5" s="11" t="n">
        <v>0.051</v>
      </c>
      <c r="G5" s="11" t="n">
        <v>0.082</v>
      </c>
      <c r="H5" s="11" t="n">
        <v>0.03</v>
      </c>
      <c r="I5" s="4" t="n">
        <v>27929</v>
      </c>
      <c r="J5" s="5"/>
    </row>
    <row r="6" customFormat="false" ht="15" hidden="false" customHeight="false" outlineLevel="0" collapsed="false">
      <c r="A6" s="6" t="s">
        <v>9</v>
      </c>
      <c r="B6" s="8" t="s">
        <v>5</v>
      </c>
      <c r="C6" s="12" t="n">
        <v>0.53</v>
      </c>
      <c r="D6" s="12" t="n">
        <v>0.168</v>
      </c>
      <c r="E6" s="12" t="n">
        <v>0.14</v>
      </c>
      <c r="F6" s="12" t="n">
        <v>0.05</v>
      </c>
      <c r="G6" s="12" t="n">
        <v>0.079</v>
      </c>
      <c r="H6" s="12" t="n">
        <v>0.033</v>
      </c>
      <c r="I6" s="7" t="n">
        <v>29083</v>
      </c>
      <c r="J6" s="8" t="s">
        <v>118</v>
      </c>
    </row>
    <row r="7" customFormat="false" ht="15" hidden="false" customHeight="false" outlineLevel="0" collapsed="false">
      <c r="A7" s="3" t="s">
        <v>9</v>
      </c>
      <c r="B7" s="5" t="s">
        <v>6</v>
      </c>
      <c r="C7" s="11" t="n">
        <v>0.534</v>
      </c>
      <c r="D7" s="11" t="n">
        <v>0.165</v>
      </c>
      <c r="E7" s="11" t="n">
        <v>0.137</v>
      </c>
      <c r="F7" s="11" t="n">
        <v>0.052</v>
      </c>
      <c r="G7" s="11" t="n">
        <v>0.079</v>
      </c>
      <c r="H7" s="11" t="n">
        <v>0.033</v>
      </c>
      <c r="I7" s="4" t="n">
        <v>30175</v>
      </c>
      <c r="J7" s="5"/>
    </row>
    <row r="8" customFormat="false" ht="15" hidden="false" customHeight="false" outlineLevel="0" collapsed="false">
      <c r="A8" s="6" t="s">
        <v>9</v>
      </c>
      <c r="B8" s="8" t="s">
        <v>7</v>
      </c>
      <c r="C8" s="12" t="n">
        <v>0.535</v>
      </c>
      <c r="D8" s="12" t="n">
        <v>0.165</v>
      </c>
      <c r="E8" s="12" t="n">
        <v>0.135</v>
      </c>
      <c r="F8" s="12" t="n">
        <v>0.055</v>
      </c>
      <c r="G8" s="12" t="n">
        <v>0.08</v>
      </c>
      <c r="H8" s="12" t="n">
        <v>0.03</v>
      </c>
      <c r="I8" s="7" t="n">
        <v>31200</v>
      </c>
      <c r="J8" s="8"/>
    </row>
    <row r="9" customFormat="false" ht="15" hidden="false" customHeight="false" outlineLevel="0" collapsed="false">
      <c r="A9" s="3" t="s">
        <v>11</v>
      </c>
      <c r="B9" s="5" t="s">
        <v>2</v>
      </c>
      <c r="C9" s="11" t="n">
        <v>0.614</v>
      </c>
      <c r="D9" s="11" t="n">
        <v>0.176</v>
      </c>
      <c r="E9" s="11" t="n">
        <v>0.077</v>
      </c>
      <c r="F9" s="11" t="n">
        <v>0.026</v>
      </c>
      <c r="G9" s="11" t="n">
        <v>0.089</v>
      </c>
      <c r="H9" s="11" t="n">
        <v>0.018</v>
      </c>
      <c r="I9" s="4" t="n">
        <v>12780</v>
      </c>
      <c r="J9" s="5"/>
    </row>
    <row r="10" customFormat="false" ht="15" hidden="false" customHeight="false" outlineLevel="0" collapsed="false">
      <c r="A10" s="6" t="s">
        <v>11</v>
      </c>
      <c r="B10" s="8" t="s">
        <v>3</v>
      </c>
      <c r="C10" s="12" t="n">
        <v>0.62</v>
      </c>
      <c r="D10" s="12" t="n">
        <v>0.174</v>
      </c>
      <c r="E10" s="12" t="n">
        <v>0.075</v>
      </c>
      <c r="F10" s="12" t="n">
        <v>0.024</v>
      </c>
      <c r="G10" s="12" t="n">
        <v>0.09</v>
      </c>
      <c r="H10" s="12" t="n">
        <v>0.017</v>
      </c>
      <c r="I10" s="7" t="n">
        <v>14928</v>
      </c>
      <c r="J10" s="8"/>
    </row>
    <row r="11" customFormat="false" ht="15" hidden="false" customHeight="false" outlineLevel="0" collapsed="false">
      <c r="A11" s="3" t="s">
        <v>11</v>
      </c>
      <c r="B11" s="5" t="s">
        <v>4</v>
      </c>
      <c r="C11" s="11" t="n">
        <v>0.629</v>
      </c>
      <c r="D11" s="11" t="n">
        <v>0.171</v>
      </c>
      <c r="E11" s="11" t="n">
        <v>0.07</v>
      </c>
      <c r="F11" s="11" t="n">
        <v>0.022</v>
      </c>
      <c r="G11" s="11" t="n">
        <v>0.092</v>
      </c>
      <c r="H11" s="11" t="n">
        <v>0.016</v>
      </c>
      <c r="I11" s="4" t="n">
        <v>18212</v>
      </c>
      <c r="J11" s="5"/>
    </row>
    <row r="12" customFormat="false" ht="15" hidden="false" customHeight="false" outlineLevel="0" collapsed="false">
      <c r="A12" s="6" t="s">
        <v>11</v>
      </c>
      <c r="B12" s="8" t="s">
        <v>5</v>
      </c>
      <c r="C12" s="12" t="n">
        <v>0.627</v>
      </c>
      <c r="D12" s="12" t="n">
        <v>0.17</v>
      </c>
      <c r="E12" s="12" t="n">
        <v>0.072</v>
      </c>
      <c r="F12" s="12" t="n">
        <v>0.023</v>
      </c>
      <c r="G12" s="12" t="n">
        <v>0.091</v>
      </c>
      <c r="H12" s="12" t="n">
        <v>0.017</v>
      </c>
      <c r="I12" s="7" t="n">
        <v>18212</v>
      </c>
      <c r="J12" s="8"/>
    </row>
    <row r="13" customFormat="false" ht="15" hidden="false" customHeight="false" outlineLevel="0" collapsed="false">
      <c r="A13" s="3" t="s">
        <v>11</v>
      </c>
      <c r="B13" s="5" t="s">
        <v>6</v>
      </c>
      <c r="C13" s="11" t="n">
        <v>0.628</v>
      </c>
      <c r="D13" s="11" t="n">
        <v>0.172</v>
      </c>
      <c r="E13" s="11" t="n">
        <v>0.07</v>
      </c>
      <c r="F13" s="11" t="n">
        <v>0.022</v>
      </c>
      <c r="G13" s="11" t="n">
        <v>0.09</v>
      </c>
      <c r="H13" s="11" t="n">
        <v>0.018</v>
      </c>
      <c r="I13" s="4" t="n">
        <v>19573</v>
      </c>
      <c r="J13" s="5"/>
    </row>
    <row r="14" customFormat="false" ht="15" hidden="false" customHeight="false" outlineLevel="0" collapsed="false">
      <c r="A14" s="6" t="s">
        <v>11</v>
      </c>
      <c r="B14" s="8" t="s">
        <v>7</v>
      </c>
      <c r="C14" s="12" t="n">
        <v>0.625</v>
      </c>
      <c r="D14" s="12" t="n">
        <v>0.17</v>
      </c>
      <c r="E14" s="12" t="n">
        <v>0.07</v>
      </c>
      <c r="F14" s="12" t="n">
        <v>0.025</v>
      </c>
      <c r="G14" s="12" t="n">
        <v>0.09</v>
      </c>
      <c r="H14" s="12" t="n">
        <v>0.02</v>
      </c>
      <c r="I14" s="7" t="n">
        <v>21100</v>
      </c>
      <c r="J14" s="8"/>
    </row>
    <row r="15" customFormat="false" ht="15" hidden="false" customHeight="false" outlineLevel="0" collapsed="false">
      <c r="A15" s="3" t="s">
        <v>13</v>
      </c>
      <c r="B15" s="5" t="s">
        <v>2</v>
      </c>
      <c r="C15" s="11" t="n">
        <v>0.546</v>
      </c>
      <c r="D15" s="11" t="n">
        <v>0.204</v>
      </c>
      <c r="E15" s="11" t="n">
        <v>0.114</v>
      </c>
      <c r="F15" s="11" t="n">
        <v>0.054</v>
      </c>
      <c r="G15" s="11" t="n">
        <v>0.062</v>
      </c>
      <c r="H15" s="11" t="n">
        <v>0.02</v>
      </c>
      <c r="I15" s="4" t="n">
        <v>8133</v>
      </c>
      <c r="J15" s="5"/>
    </row>
    <row r="16" customFormat="false" ht="15" hidden="false" customHeight="false" outlineLevel="0" collapsed="false">
      <c r="A16" s="6" t="s">
        <v>13</v>
      </c>
      <c r="B16" s="8" t="s">
        <v>3</v>
      </c>
      <c r="C16" s="12" t="n">
        <v>0.552</v>
      </c>
      <c r="D16" s="12" t="n">
        <v>0.201</v>
      </c>
      <c r="E16" s="12" t="n">
        <v>0.111</v>
      </c>
      <c r="F16" s="12" t="n">
        <v>0.05</v>
      </c>
      <c r="G16" s="12" t="n">
        <v>0.065</v>
      </c>
      <c r="H16" s="12" t="n">
        <v>0.021</v>
      </c>
      <c r="I16" s="7" t="n">
        <v>9494</v>
      </c>
      <c r="J16" s="8"/>
    </row>
    <row r="17" customFormat="false" ht="15" hidden="false" customHeight="false" outlineLevel="0" collapsed="false">
      <c r="A17" s="3" t="s">
        <v>13</v>
      </c>
      <c r="B17" s="5" t="s">
        <v>4</v>
      </c>
      <c r="C17" s="11" t="n">
        <v>0.561</v>
      </c>
      <c r="D17" s="11" t="n">
        <v>0.198</v>
      </c>
      <c r="E17" s="11" t="n">
        <v>0.105</v>
      </c>
      <c r="F17" s="11" t="n">
        <v>0.049</v>
      </c>
      <c r="G17" s="11" t="n">
        <v>0.065</v>
      </c>
      <c r="H17" s="11" t="n">
        <v>0.022</v>
      </c>
      <c r="I17" s="4" t="n">
        <v>10396</v>
      </c>
      <c r="J17" s="5"/>
    </row>
    <row r="18" customFormat="false" ht="15" hidden="false" customHeight="false" outlineLevel="0" collapsed="false">
      <c r="A18" s="6" t="s">
        <v>13</v>
      </c>
      <c r="B18" s="8" t="s">
        <v>5</v>
      </c>
      <c r="C18" s="12" t="n">
        <v>0.565</v>
      </c>
      <c r="D18" s="12" t="n">
        <v>0.195</v>
      </c>
      <c r="E18" s="12" t="n">
        <v>0.103</v>
      </c>
      <c r="F18" s="12" t="n">
        <v>0.048</v>
      </c>
      <c r="G18" s="12" t="n">
        <v>0.066</v>
      </c>
      <c r="H18" s="12" t="n">
        <v>0.023</v>
      </c>
      <c r="I18" s="7" t="n">
        <v>11158</v>
      </c>
      <c r="J18" s="8"/>
    </row>
    <row r="19" customFormat="false" ht="15" hidden="false" customHeight="false" outlineLevel="0" collapsed="false">
      <c r="A19" s="3" t="s">
        <v>13</v>
      </c>
      <c r="B19" s="5" t="s">
        <v>6</v>
      </c>
      <c r="C19" s="11" t="n">
        <v>0.558</v>
      </c>
      <c r="D19" s="11" t="n">
        <v>0.198</v>
      </c>
      <c r="E19" s="11" t="n">
        <v>0.106</v>
      </c>
      <c r="F19" s="11" t="n">
        <v>0.051</v>
      </c>
      <c r="G19" s="11" t="n">
        <v>0.064</v>
      </c>
      <c r="H19" s="11" t="n">
        <v>0.023</v>
      </c>
      <c r="I19" s="4" t="n">
        <v>10845</v>
      </c>
      <c r="J19" s="5"/>
    </row>
    <row r="20" customFormat="false" ht="15" hidden="false" customHeight="false" outlineLevel="0" collapsed="false">
      <c r="A20" s="6" t="s">
        <v>13</v>
      </c>
      <c r="B20" s="8" t="s">
        <v>7</v>
      </c>
      <c r="C20" s="12" t="n">
        <v>0.56</v>
      </c>
      <c r="D20" s="12" t="n">
        <v>0.2</v>
      </c>
      <c r="E20" s="12" t="n">
        <v>0.105</v>
      </c>
      <c r="F20" s="12" t="n">
        <v>0.05</v>
      </c>
      <c r="G20" s="12" t="n">
        <v>0.065</v>
      </c>
      <c r="H20" s="12" t="n">
        <v>0.02</v>
      </c>
      <c r="I20" s="7" t="n">
        <v>11200</v>
      </c>
      <c r="J20" s="8"/>
    </row>
    <row r="21" customFormat="false" ht="15" hidden="false" customHeight="false" outlineLevel="0" collapsed="false">
      <c r="A21" s="3" t="s">
        <v>15</v>
      </c>
      <c r="B21" s="5" t="s">
        <v>2</v>
      </c>
      <c r="C21" s="11" t="n">
        <v>0.628</v>
      </c>
      <c r="D21" s="11" t="n">
        <v>0.179</v>
      </c>
      <c r="E21" s="11" t="n">
        <v>0.103</v>
      </c>
      <c r="F21" s="11" t="n">
        <v>0.032</v>
      </c>
      <c r="G21" s="11" t="n">
        <v>0.046</v>
      </c>
      <c r="H21" s="11" t="n">
        <v>0.012</v>
      </c>
      <c r="I21" s="4" t="n">
        <v>9627</v>
      </c>
      <c r="J21" s="5"/>
    </row>
    <row r="22" customFormat="false" ht="15" hidden="false" customHeight="false" outlineLevel="0" collapsed="false">
      <c r="A22" s="6" t="s">
        <v>15</v>
      </c>
      <c r="B22" s="8" t="s">
        <v>3</v>
      </c>
      <c r="C22" s="12" t="n">
        <v>0.631</v>
      </c>
      <c r="D22" s="12" t="n">
        <v>0.177</v>
      </c>
      <c r="E22" s="12" t="n">
        <v>0.101</v>
      </c>
      <c r="F22" s="12" t="n">
        <v>0.03</v>
      </c>
      <c r="G22" s="12" t="n">
        <v>0.048</v>
      </c>
      <c r="H22" s="12" t="n">
        <v>0.013</v>
      </c>
      <c r="I22" s="7" t="n">
        <v>10173</v>
      </c>
      <c r="J22" s="8"/>
    </row>
    <row r="23" customFormat="false" ht="15" hidden="false" customHeight="false" outlineLevel="0" collapsed="false">
      <c r="A23" s="3" t="s">
        <v>15</v>
      </c>
      <c r="B23" s="5" t="s">
        <v>4</v>
      </c>
      <c r="C23" s="11" t="n">
        <v>0.635</v>
      </c>
      <c r="D23" s="11" t="n">
        <v>0.173</v>
      </c>
      <c r="E23" s="11" t="n">
        <v>0.098</v>
      </c>
      <c r="F23" s="11" t="n">
        <v>0.029</v>
      </c>
      <c r="G23" s="11" t="n">
        <v>0.05</v>
      </c>
      <c r="H23" s="11" t="n">
        <v>0.015</v>
      </c>
      <c r="I23" s="4" t="n">
        <v>11777</v>
      </c>
      <c r="J23" s="5"/>
    </row>
    <row r="24" customFormat="false" ht="15" hidden="false" customHeight="false" outlineLevel="0" collapsed="false">
      <c r="A24" s="6" t="s">
        <v>15</v>
      </c>
      <c r="B24" s="8" t="s">
        <v>5</v>
      </c>
      <c r="C24" s="12" t="n">
        <v>0.63</v>
      </c>
      <c r="D24" s="12" t="n">
        <v>0.175</v>
      </c>
      <c r="E24" s="12" t="n">
        <v>0.099</v>
      </c>
      <c r="F24" s="12" t="n">
        <v>0.031</v>
      </c>
      <c r="G24" s="12" t="n">
        <v>0.05</v>
      </c>
      <c r="H24" s="12" t="n">
        <v>0.015</v>
      </c>
      <c r="I24" s="7" t="n">
        <v>13299</v>
      </c>
      <c r="J24" s="8"/>
    </row>
    <row r="25" customFormat="false" ht="15" hidden="false" customHeight="false" outlineLevel="0" collapsed="false">
      <c r="A25" s="3" t="s">
        <v>15</v>
      </c>
      <c r="B25" s="5" t="s">
        <v>6</v>
      </c>
      <c r="C25" s="11" t="n">
        <v>0.625</v>
      </c>
      <c r="D25" s="11" t="n">
        <v>0.18</v>
      </c>
      <c r="E25" s="11" t="n">
        <v>0.1</v>
      </c>
      <c r="F25" s="11" t="n">
        <v>0.032</v>
      </c>
      <c r="G25" s="11" t="n">
        <v>0.049</v>
      </c>
      <c r="H25" s="11" t="n">
        <v>0.014</v>
      </c>
      <c r="I25" s="4" t="n">
        <v>14251</v>
      </c>
      <c r="J25" s="5"/>
    </row>
    <row r="26" customFormat="false" ht="15" hidden="false" customHeight="false" outlineLevel="0" collapsed="false">
      <c r="A26" s="6" t="s">
        <v>15</v>
      </c>
      <c r="B26" s="8" t="s">
        <v>7</v>
      </c>
      <c r="C26" s="12" t="n">
        <v>0.625</v>
      </c>
      <c r="D26" s="12" t="n">
        <v>0.18</v>
      </c>
      <c r="E26" s="12" t="n">
        <v>0.1</v>
      </c>
      <c r="F26" s="12" t="n">
        <v>0.032</v>
      </c>
      <c r="G26" s="12" t="n">
        <v>0.05</v>
      </c>
      <c r="H26" s="12" t="n">
        <v>0.013</v>
      </c>
      <c r="I26" s="7" t="n">
        <v>15400</v>
      </c>
      <c r="J26" s="8"/>
    </row>
    <row r="27" customFormat="false" ht="15" hidden="false" customHeight="false" outlineLevel="0" collapsed="false">
      <c r="A27" s="3" t="s">
        <v>17</v>
      </c>
      <c r="B27" s="5" t="s">
        <v>2</v>
      </c>
      <c r="C27" s="11" t="n">
        <v>0.445</v>
      </c>
      <c r="D27" s="11" t="n">
        <v>0.283</v>
      </c>
      <c r="E27" s="11" t="n">
        <v>0.112</v>
      </c>
      <c r="F27" s="11" t="n">
        <v>0.008</v>
      </c>
      <c r="G27" s="11" t="n">
        <v>0.095</v>
      </c>
      <c r="H27" s="11" t="n">
        <v>0.057</v>
      </c>
      <c r="I27" s="4" t="n">
        <v>44327</v>
      </c>
      <c r="J27" s="5"/>
    </row>
    <row r="28" customFormat="false" ht="15" hidden="false" customHeight="false" outlineLevel="0" collapsed="false">
      <c r="A28" s="6" t="s">
        <v>17</v>
      </c>
      <c r="B28" s="8" t="s">
        <v>3</v>
      </c>
      <c r="C28" s="12" t="n">
        <v>0.448</v>
      </c>
      <c r="D28" s="12" t="n">
        <v>0.28</v>
      </c>
      <c r="E28" s="12" t="n">
        <v>0.11</v>
      </c>
      <c r="F28" s="12" t="n">
        <v>0.008</v>
      </c>
      <c r="G28" s="12" t="n">
        <v>0.097</v>
      </c>
      <c r="H28" s="12" t="n">
        <v>0.057</v>
      </c>
      <c r="I28" s="7" t="n">
        <v>50533</v>
      </c>
      <c r="J28" s="8"/>
    </row>
    <row r="29" customFormat="false" ht="15" hidden="false" customHeight="false" outlineLevel="0" collapsed="false">
      <c r="A29" s="3" t="s">
        <v>17</v>
      </c>
      <c r="B29" s="5" t="s">
        <v>4</v>
      </c>
      <c r="C29" s="11" t="n">
        <v>0.452</v>
      </c>
      <c r="D29" s="11" t="n">
        <v>0.275</v>
      </c>
      <c r="E29" s="11" t="n">
        <v>0.109</v>
      </c>
      <c r="F29" s="11" t="n">
        <v>0.007</v>
      </c>
      <c r="G29" s="11" t="n">
        <v>0.099</v>
      </c>
      <c r="H29" s="11" t="n">
        <v>0.058</v>
      </c>
      <c r="I29" s="4" t="n">
        <v>61594</v>
      </c>
      <c r="J29" s="5"/>
    </row>
    <row r="30" customFormat="false" ht="15" hidden="false" customHeight="false" outlineLevel="0" collapsed="false">
      <c r="A30" s="6" t="s">
        <v>17</v>
      </c>
      <c r="B30" s="8" t="s">
        <v>5</v>
      </c>
      <c r="C30" s="12" t="n">
        <v>0.45</v>
      </c>
      <c r="D30" s="12" t="n">
        <v>0.276</v>
      </c>
      <c r="E30" s="12" t="n">
        <v>0.11</v>
      </c>
      <c r="F30" s="12" t="n">
        <v>0.008</v>
      </c>
      <c r="G30" s="12" t="n">
        <v>0.098</v>
      </c>
      <c r="H30" s="12" t="n">
        <v>0.058</v>
      </c>
      <c r="I30" s="7" t="n">
        <v>64111</v>
      </c>
      <c r="J30" s="8"/>
    </row>
    <row r="31" customFormat="false" ht="15" hidden="false" customHeight="false" outlineLevel="0" collapsed="false">
      <c r="A31" s="3" t="s">
        <v>17</v>
      </c>
      <c r="B31" s="5" t="s">
        <v>6</v>
      </c>
      <c r="C31" s="11" t="n">
        <v>0.452</v>
      </c>
      <c r="D31" s="11" t="n">
        <v>0.274</v>
      </c>
      <c r="E31" s="11" t="n">
        <v>0.108</v>
      </c>
      <c r="F31" s="11" t="n">
        <v>0.008</v>
      </c>
      <c r="G31" s="11" t="n">
        <v>0.099</v>
      </c>
      <c r="H31" s="11" t="n">
        <v>0.059</v>
      </c>
      <c r="I31" s="4" t="n">
        <v>64895</v>
      </c>
      <c r="J31" s="5"/>
    </row>
    <row r="32" customFormat="false" ht="15" hidden="false" customHeight="false" outlineLevel="0" collapsed="false">
      <c r="A32" s="6" t="s">
        <v>17</v>
      </c>
      <c r="B32" s="8" t="s">
        <v>7</v>
      </c>
      <c r="C32" s="12" t="n">
        <v>0.45</v>
      </c>
      <c r="D32" s="12" t="n">
        <v>0.275</v>
      </c>
      <c r="E32" s="12" t="n">
        <v>0.108</v>
      </c>
      <c r="F32" s="12" t="n">
        <v>0.009</v>
      </c>
      <c r="G32" s="12" t="n">
        <v>0.1</v>
      </c>
      <c r="H32" s="12" t="n">
        <v>0.058</v>
      </c>
      <c r="I32" s="7" t="n">
        <v>67200</v>
      </c>
      <c r="J32" s="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2026-05-09T16:41:40Z</dcterms:created>
  <dc:creator>openpyxl</dc:creator>
  <dc:description/>
  <dc:language>en-US</dc:language>
  <cp:lastModifiedBy/>
  <dcterms:modified xsi:type="dcterms:W3CDTF">2026-05-09T16:41:40Z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